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cenarios" sheetId="3" state="visible" r:id="rId5"/>
    <sheet name="Projection" sheetId="4" state="visible" r:id="rId6"/>
    <sheet name="Account Comparison" sheetId="5" state="visible" r:id="rId7"/>
    <sheet name="Business Cash Flow" sheetId="6" state="visible" r:id="rId8"/>
    <sheet name="Simulation" sheetId="7" state="visible" r:id="rId9"/>
    <sheet name="Practice R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Illustrative long-run nominal assumptions for teaching purposes, not forecasts. TIPS principal adjusts with inflation (CPI).</t>
        </r>
      </text>
    </comment>
  </commentList>
</comments>
</file>

<file path=xl/sharedStrings.xml><?xml version="1.0" encoding="utf-8"?>
<sst xmlns="http://schemas.openxmlformats.org/spreadsheetml/2006/main" count="338" uniqueCount="262">
  <si>
    <t xml:space="preserve">Client Plan Dashboard</t>
  </si>
  <si>
    <t xml:space="preserve">Change the yellow levers on the Assumptions sheet; everything updates.</t>
  </si>
  <si>
    <t xml:space="preserve">Key output</t>
  </si>
  <si>
    <t xml:space="preserve">Value</t>
  </si>
  <si>
    <t xml:space="preserve">Selected portfolio</t>
  </si>
  <si>
    <t xml:space="preserve">Inflation-protection (TIPS) sleeve</t>
  </si>
  <si>
    <t xml:space="preserve">Net expected return (after fee)</t>
  </si>
  <si>
    <t xml:space="preserve">Portfolio volatility</t>
  </si>
  <si>
    <t xml:space="preserve">Balance at retirement ($)</t>
  </si>
  <si>
    <t xml:space="preserve">Ending balance at plan-to age ($)</t>
  </si>
  <si>
    <t xml:space="preserve">Money lasts to age</t>
  </si>
  <si>
    <t xml:space="preserve">Best place for the next dollar</t>
  </si>
  <si>
    <t xml:space="preserve">Practice: extra 3-year revenue (data-driven)</t>
  </si>
  <si>
    <t xml:space="preserve">Retirement Portfolio Stress Test Model</t>
  </si>
  <si>
    <t xml:space="preserve">Blue = input you can change · Black = formula · Green = link to another sheet · Yellow = key lever. Illustrative assumptions only, not investment advice.</t>
  </si>
  <si>
    <t xml:space="preserve">Client profile</t>
  </si>
  <si>
    <t xml:space="preserve">Note</t>
  </si>
  <si>
    <t xml:space="preserve">Current age</t>
  </si>
  <si>
    <t xml:space="preserve">Example client</t>
  </si>
  <si>
    <t xml:space="preserve">Retirement age</t>
  </si>
  <si>
    <t xml:space="preserve">Plan-to age</t>
  </si>
  <si>
    <t xml:space="preserve">Projection sheet rows sized for ages 36-92</t>
  </si>
  <si>
    <t xml:space="preserve">Current savings ($)</t>
  </si>
  <si>
    <t xml:space="preserve">Annual contribution, year 1 ($)</t>
  </si>
  <si>
    <t xml:space="preserve">e.g. 401(k) + IRA</t>
  </si>
  <si>
    <t xml:space="preserve">Contribution growth (%/yr)</t>
  </si>
  <si>
    <t xml:space="preserve">Raises over time</t>
  </si>
  <si>
    <t xml:space="preserve">Inflation (%/yr)</t>
  </si>
  <si>
    <t xml:space="preserve">Long-run assumption</t>
  </si>
  <si>
    <t xml:space="preserve">Retirement spending need (today's $/yr)</t>
  </si>
  <si>
    <t xml:space="preserve">Social Security estimate (today's $/yr)</t>
  </si>
  <si>
    <t xml:space="preserve">Assumed to start at retirement</t>
  </si>
  <si>
    <t xml:space="preserve">Advisory fee (%/yr)</t>
  </si>
  <si>
    <t xml:space="preserve">Typical AUM fee</t>
  </si>
  <si>
    <t xml:space="preserve">Scenario levers</t>
  </si>
  <si>
    <t xml:space="preserve">Model portfolio (1=Conservative, 2=Balanced, 3=Growth)</t>
  </si>
  <si>
    <t xml:space="preserve">Change to see a different portfolio</t>
  </si>
  <si>
    <t xml:space="preserve">Inflation-protection (TIPS) sleeve (%)</t>
  </si>
  <si>
    <t xml:space="preserve">Carved pro-rata from the core mix</t>
  </si>
  <si>
    <t xml:space="preserve">Selected portfolio name</t>
  </si>
  <si>
    <t xml:space="preserve">Asset class</t>
  </si>
  <si>
    <t xml:space="preserve">Example ETF</t>
  </si>
  <si>
    <t xml:space="preserve">Expected return</t>
  </si>
  <si>
    <t xml:space="preserve">Volatility</t>
  </si>
  <si>
    <t xml:space="preserve">Conservative</t>
  </si>
  <si>
    <t xml:space="preserve">Balanced</t>
  </si>
  <si>
    <t xml:space="preserve">Growth</t>
  </si>
  <si>
    <t xml:space="preserve">Base weights -&gt;</t>
  </si>
  <si>
    <t xml:space="preserve">US stocks</t>
  </si>
  <si>
    <t xml:space="preserve">VTI</t>
  </si>
  <si>
    <t xml:space="preserve">International stocks</t>
  </si>
  <si>
    <t xml:space="preserve">VXUS</t>
  </si>
  <si>
    <t xml:space="preserve">US bonds</t>
  </si>
  <si>
    <t xml:space="preserve">BND</t>
  </si>
  <si>
    <t xml:space="preserve">Inflation-protected bonds (TIPS)</t>
  </si>
  <si>
    <t xml:space="preserve">SCHP</t>
  </si>
  <si>
    <t xml:space="preserve">Total</t>
  </si>
  <si>
    <t xml:space="preserve">Correlation</t>
  </si>
  <si>
    <t xml:space="preserve">Intl stocks</t>
  </si>
  <si>
    <t xml:space="preserve">TIPS</t>
  </si>
  <si>
    <t xml:space="preserve">Covariance</t>
  </si>
  <si>
    <t xml:space="preserve">Covariance = vol(i) x vol(j) x correlation(i,j)</t>
  </si>
  <si>
    <t xml:space="preserve">Scenario Comparison: 3 Portfolios x 3 TIPS Sleeves</t>
  </si>
  <si>
    <t xml:space="preserve">Closed-form outcomes; the Projection sheet shows the selected case year by year. Bad-luck case = approx. 10th-percentile annualized return: net return - 1.28 x volatility / SQRT(years to retirement).</t>
  </si>
  <si>
    <t xml:space="preserve">Portfolio</t>
  </si>
  <si>
    <t xml:space="preserve">TIPS %</t>
  </si>
  <si>
    <t xml:space="preserve">Net return (after fee)</t>
  </si>
  <si>
    <t xml:space="preserve">Funded?</t>
  </si>
  <si>
    <t xml:space="preserve">Bad-luck net return (~10th pct)</t>
  </si>
  <si>
    <t xml:space="preserve">Bad-luck ending balance ($)</t>
  </si>
  <si>
    <t xml:space="preserve">Shared inputs</t>
  </si>
  <si>
    <t xml:space="preserve">Years to retirement (n)</t>
  </si>
  <si>
    <t xml:space="preserve">Years in retirement (m)</t>
  </si>
  <si>
    <t xml:space="preserve">Net need, first retirement year ($)</t>
  </si>
  <si>
    <t xml:space="preserve">Selected scenario row</t>
  </si>
  <si>
    <t xml:space="preserve">TIPS % lever must be 0%, 5% or 10% to match a row here; Projection works for any %.</t>
  </si>
  <si>
    <t xml:space="preserve">Year-by-Year Projection (selected scenario)</t>
  </si>
  <si>
    <t xml:space="preserve">Selected portfolio:</t>
  </si>
  <si>
    <t xml:space="preserve">TIPS %:</t>
  </si>
  <si>
    <t xml:space="preserve">Net return:</t>
  </si>
  <si>
    <t xml:space="preserve">Net need yr 1 of retirement:</t>
  </si>
  <si>
    <t xml:space="preserve">Year</t>
  </si>
  <si>
    <t xml:space="preserve">Age</t>
  </si>
  <si>
    <t xml:space="preserve">Phase</t>
  </si>
  <si>
    <t xml:space="preserve">Start balance ($)</t>
  </si>
  <si>
    <t xml:space="preserve">Contribution ($)</t>
  </si>
  <si>
    <t xml:space="preserve">Withdrawal ($)</t>
  </si>
  <si>
    <t xml:space="preserve">Investment growth ($)</t>
  </si>
  <si>
    <t xml:space="preserve">End balance ($)</t>
  </si>
  <si>
    <t xml:space="preserve">Account Comparison: Where Should the Next Dollar Go?</t>
  </si>
  <si>
    <t xml:space="preserve">Same pre-tax income goes into each account type each year. Compares after-tax value at retirement. Texas has no state income tax, so federal rates only.</t>
  </si>
  <si>
    <t xml:space="preserve">Tax &amp; account inputs</t>
  </si>
  <si>
    <t xml:space="preserve">Annual pre-tax income set aside, year 1 ($)</t>
  </si>
  <si>
    <t xml:space="preserve">Equals the 2026 IRA limit ($7,500); 401(k) limit is $24,500 (IRS, Nov 2025)</t>
  </si>
  <si>
    <t xml:space="preserve">Current marginal tax rate (%)</t>
  </si>
  <si>
    <t xml:space="preserve">Federal bracket while working</t>
  </si>
  <si>
    <t xml:space="preserve">Retirement tax rate on withdrawals (%)</t>
  </si>
  <si>
    <t xml:space="preserve">Key lever: lower income in retirement</t>
  </si>
  <si>
    <t xml:space="preserve">Long-term capital gains rate (%)</t>
  </si>
  <si>
    <t xml:space="preserve">Applies to taxable account gains</t>
  </si>
  <si>
    <t xml:space="preserve">Taxable account tax drag (%/yr)</t>
  </si>
  <si>
    <t xml:space="preserve">Yearly tax on dividends and distributions</t>
  </si>
  <si>
    <t xml:space="preserve">Salary, year 1 ($)</t>
  </si>
  <si>
    <t xml:space="preserve">Needed for employer match</t>
  </si>
  <si>
    <t xml:space="preserve">Employer match rate (%)</t>
  </si>
  <si>
    <t xml:space="preserve">50 cents per dollar...</t>
  </si>
  <si>
    <t xml:space="preserve">Match cap (% of salary)</t>
  </si>
  <si>
    <t xml:space="preserve">...on the first 6% of salary</t>
  </si>
  <si>
    <t xml:space="preserve">Linked from model</t>
  </si>
  <si>
    <t xml:space="preserve">Years of saving (n)</t>
  </si>
  <si>
    <t xml:space="preserve">Retirement age - current age</t>
  </si>
  <si>
    <t xml:space="preserve">Net return, selected portfolio (r)</t>
  </si>
  <si>
    <t xml:space="preserve">From the stress-test model</t>
  </si>
  <si>
    <t xml:space="preserve">Contribution growth (g)</t>
  </si>
  <si>
    <t xml:space="preserve">Raises; limits also rise with inflation</t>
  </si>
  <si>
    <t xml:space="preserve">Growth factors</t>
  </si>
  <si>
    <t xml:space="preserve">Tax-free growth factor (FV of $1/yr growing at g)</t>
  </si>
  <si>
    <t xml:space="preserve">Growing-annuity formula, end-of-year contributions</t>
  </si>
  <si>
    <t xml:space="preserve">Taxable growth factor (return less tax drag)</t>
  </si>
  <si>
    <t xml:space="preserve">Cost-basis factor (sum of contributions)</t>
  </si>
  <si>
    <t xml:space="preserve">Employer match, year 1 ($)</t>
  </si>
  <si>
    <t xml:space="preserve">Account</t>
  </si>
  <si>
    <t xml:space="preserve">Tax treatment</t>
  </si>
  <si>
    <t xml:space="preserve">Invested, year 1 ($)</t>
  </si>
  <si>
    <t xml:space="preserve">Tax due on withdrawal ($)</t>
  </si>
  <si>
    <t xml:space="preserve">After-tax value ($)</t>
  </si>
  <si>
    <t xml:space="preserve">vs taxable ($)</t>
  </si>
  <si>
    <t xml:space="preserve">Taxable brokerage</t>
  </si>
  <si>
    <t xml:space="preserve">Taxed now; gains taxed yearly and at sale</t>
  </si>
  <si>
    <t xml:space="preserve">Traditional IRA</t>
  </si>
  <si>
    <t xml:space="preserve">Tax break now; withdrawals taxed</t>
  </si>
  <si>
    <t xml:space="preserve">Roth IRA</t>
  </si>
  <si>
    <t xml:space="preserve">Taxed now; withdrawals tax-free</t>
  </si>
  <si>
    <t xml:space="preserve">401(k) with employer match</t>
  </si>
  <si>
    <t xml:space="preserve">Tax break now; match is free money; withdrawals taxed</t>
  </si>
  <si>
    <t xml:space="preserve">Best choice at these inputs</t>
  </si>
  <si>
    <t xml:space="preserve">Best IRA (Traditional vs Roth)</t>
  </si>
  <si>
    <t xml:space="preserve">Retirement tax rate</t>
  </si>
  <si>
    <t xml:space="preserve">Traditional IRA after-tax ($)</t>
  </si>
  <si>
    <t xml:space="preserve">Roth IRA after-tax ($)</t>
  </si>
  <si>
    <t xml:space="preserve">Better IRA</t>
  </si>
  <si>
    <t xml:space="preserve">Roth advantage ($)</t>
  </si>
  <si>
    <t xml:space="preserve">Rule of thumb the table proves: Traditional wins if your tax rate drops in retirement, Roth wins if it rises, and they tie when it stays the same.</t>
  </si>
  <si>
    <t xml:space="preserve">Business Cash-Flow Model: Example Co. (fictional)</t>
  </si>
  <si>
    <t xml:space="preserve">Made-up small business for demonstration. Driver-based: customers x price, less costs. Blue = input, black = formula.</t>
  </si>
  <si>
    <t xml:space="preserve">Business inputs</t>
  </si>
  <si>
    <t xml:space="preserve">Scenario</t>
  </si>
  <si>
    <t xml:space="preserve">Price change</t>
  </si>
  <si>
    <t xml:space="preserve">New customers / mo</t>
  </si>
  <si>
    <t xml:space="preserve">Churn / mo</t>
  </si>
  <si>
    <t xml:space="preserve">Fixed-cost change</t>
  </si>
  <si>
    <t xml:space="preserve">Starting cash ($)</t>
  </si>
  <si>
    <t xml:space="preserve">Base plan</t>
  </si>
  <si>
    <t xml:space="preserve">Starting customers</t>
  </si>
  <si>
    <t xml:space="preserve">Raise price 10%</t>
  </si>
  <si>
    <t xml:space="preserve">Monthly price per customer ($)</t>
  </si>
  <si>
    <t xml:space="preserve">Cut fixed costs 10%</t>
  </si>
  <si>
    <t xml:space="preserve">New customers per month (% of base)</t>
  </si>
  <si>
    <t xml:space="preserve">Downturn</t>
  </si>
  <si>
    <t xml:space="preserve">Monthly churn (% lost)</t>
  </si>
  <si>
    <t xml:space="preserve">Cost of service (% of revenue)</t>
  </si>
  <si>
    <t xml:space="preserve">Raising price assumes slightly higher churn (+0.5 pt) as some customers leave.</t>
  </si>
  <si>
    <t xml:space="preserve">Fixed operating costs per month ($)</t>
  </si>
  <si>
    <t xml:space="preserve">Month-24 revenue ($)</t>
  </si>
  <si>
    <t xml:space="preserve">Month-24 monthly profit ($)</t>
  </si>
  <si>
    <t xml:space="preserve">Ending cash ($)</t>
  </si>
  <si>
    <t xml:space="preserve">Cash runs out in month</t>
  </si>
  <si>
    <t xml:space="preserve">Breakeven month</t>
  </si>
  <si>
    <t xml:space="preserve">Flag columns (neg / BE) mark the first month cash goes negative or profit turns positive (999 = never).</t>
  </si>
  <si>
    <t xml:space="preserve">Monthly projection</t>
  </si>
  <si>
    <t xml:space="preserve">Month</t>
  </si>
  <si>
    <t xml:space="preserve">Customers</t>
  </si>
  <si>
    <t xml:space="preserve">Revenue ($)</t>
  </si>
  <si>
    <t xml:space="preserve">Costs ($)</t>
  </si>
  <si>
    <t xml:space="preserve">Profit / loss ($)</t>
  </si>
  <si>
    <t xml:space="preserve">Cash ($)</t>
  </si>
  <si>
    <t xml:space="preserve">neg flag</t>
  </si>
  <si>
    <t xml:space="preserve">BE flag</t>
  </si>
  <si>
    <t xml:space="preserve">Monte Carlo Simulation: 1,000 Possible Futures for Example Co.</t>
  </si>
  <si>
    <t xml:space="preserve">Each run draws its own underlying growth ~ Normal(5%, 1.5%) and churn ~ Normal(2%, 0.5%), plus 1% month-to-month noise in growth; other inputs as in the base plan. Seed 42. Values are simulation output; re-run business_cashflow.py to refresh.</t>
  </si>
  <si>
    <t xml:space="preserve">Simulation result</t>
  </si>
  <si>
    <t xml:space="preserve">Runs</t>
  </si>
  <si>
    <t xml:space="preserve">Chance cash stays positive all 24 months</t>
  </si>
  <si>
    <t xml:space="preserve">Chance of reaching a profitable month</t>
  </si>
  <si>
    <t xml:space="preserve">Ending cash, bad case (10th percentile)</t>
  </si>
  <si>
    <t xml:space="preserve">Ending cash, typical (median)</t>
  </si>
  <si>
    <t xml:space="preserve">Ending cash, good case (90th percentile)</t>
  </si>
  <si>
    <t xml:space="preserve">10th pct cash ($)</t>
  </si>
  <si>
    <t xml:space="preserve">25th pct ($)</t>
  </si>
  <si>
    <t xml:space="preserve">Median ($)</t>
  </si>
  <si>
    <t xml:space="preserve">75th pct ($)</t>
  </si>
  <si>
    <t xml:space="preserve">90th pct ($)</t>
  </si>
  <si>
    <t xml:space="preserve">Practice ROI Model: From Planning Conversations to Firm Revenue</t>
  </si>
  <si>
    <t xml:space="preserve">Illustrative assumptions; replace with the firm's figures. Blue = input, green = link, yellow = the four inputs the data-driven approach changes.</t>
  </si>
  <si>
    <t xml:space="preserve">Input</t>
  </si>
  <si>
    <t xml:space="preserve">Standard approach</t>
  </si>
  <si>
    <t xml:space="preserve">Data-driven approach</t>
  </si>
  <si>
    <t xml:space="preserve">Prospects met per month</t>
  </si>
  <si>
    <t xml:space="preserve">Seminars, referrals and meetings</t>
  </si>
  <si>
    <t xml:space="preserve">Conversion to client (%)</t>
  </si>
  <si>
    <t xml:space="preserve">Assumption: stress test + live planner give prospects a clear reason to act</t>
  </si>
  <si>
    <t xml:space="preserve">Annual client retention (%)</t>
  </si>
  <si>
    <t xml:space="preserve">Assumption: clients who understand their plan stay longer</t>
  </si>
  <si>
    <t xml:space="preserve">Average assets per new client ($)</t>
  </si>
  <si>
    <t xml:space="preserve">Increase Consultants averages about $32.9K per client (AdvizorPro)</t>
  </si>
  <si>
    <t xml:space="preserve">New contributions per client per year ($)</t>
  </si>
  <si>
    <t xml:space="preserve">Ongoing savings added to managed accounts</t>
  </si>
  <si>
    <t xml:space="preserve">Portfolio growth before fee (%)</t>
  </si>
  <si>
    <t xml:space="preserve">Linked: selected portfolio from the stress-test model</t>
  </si>
  <si>
    <t xml:space="preserve">Linked from Assumptions</t>
  </si>
  <si>
    <t xml:space="preserve">Clients buying an annuity (%)</t>
  </si>
  <si>
    <t xml:space="preserve">Assumption: stress test shows when guaranteed income helps</t>
  </si>
  <si>
    <t xml:space="preserve">Average annuity premium ($)</t>
  </si>
  <si>
    <t xml:space="preserve">Assumption</t>
  </si>
  <si>
    <t xml:space="preserve">Annuity commission (% of premium)</t>
  </si>
  <si>
    <t xml:space="preserve">Assumption; varies by product</t>
  </si>
  <si>
    <t xml:space="preserve">Clients buying life insurance (%)</t>
  </si>
  <si>
    <t xml:space="preserve">Average annual life premium ($)</t>
  </si>
  <si>
    <t xml:space="preserve">First-year commission (% of premium)</t>
  </si>
  <si>
    <t xml:space="preserve">Assumption; varies by carrier</t>
  </si>
  <si>
    <t xml:space="preserve">Renewal commission (% of premium)</t>
  </si>
  <si>
    <t xml:space="preserve">Planner cost per year ($)</t>
  </si>
  <si>
    <t xml:space="preserve">Assumption: base pay plus licensing and tools</t>
  </si>
  <si>
    <t xml:space="preserve">Discount rate for client value (%)</t>
  </si>
  <si>
    <t xml:space="preserve">Used in the lifetime-value DCF</t>
  </si>
  <si>
    <t xml:space="preserve">Metric</t>
  </si>
  <si>
    <t xml:space="preserve">Standard Y1</t>
  </si>
  <si>
    <t xml:space="preserve">Standard Y2</t>
  </si>
  <si>
    <t xml:space="preserve">Standard Y3</t>
  </si>
  <si>
    <t xml:space="preserve">Data-driven Y1</t>
  </si>
  <si>
    <t xml:space="preserve">Data-driven Y2</t>
  </si>
  <si>
    <t xml:space="preserve">Data-driven Y3</t>
  </si>
  <si>
    <t xml:space="preserve">New clients</t>
  </si>
  <si>
    <t xml:space="preserve">Clients at year end</t>
  </si>
  <si>
    <t xml:space="preserve">Insured clients at year end</t>
  </si>
  <si>
    <t xml:space="preserve">Assets under management, year end ($)</t>
  </si>
  <si>
    <t xml:space="preserve">Average AUM during year ($)</t>
  </si>
  <si>
    <t xml:space="preserve">Advisory fee revenue ($)</t>
  </si>
  <si>
    <t xml:space="preserve">Annuity commissions ($)</t>
  </si>
  <si>
    <t xml:space="preserve">Insurance first-year commissions ($)</t>
  </si>
  <si>
    <t xml:space="preserve">Insurance renewal commissions ($)</t>
  </si>
  <si>
    <t xml:space="preserve">Total revenue ($)</t>
  </si>
  <si>
    <t xml:space="preserve">Planner cost ($)</t>
  </si>
  <si>
    <t xml:space="preserve">Net contribution to firm ($)</t>
  </si>
  <si>
    <t xml:space="preserve">Revenue per $1 of planner cost</t>
  </si>
  <si>
    <t xml:space="preserve">3-year summary</t>
  </si>
  <si>
    <t xml:space="preserve">Standard</t>
  </si>
  <si>
    <t xml:space="preserve">Data-driven</t>
  </si>
  <si>
    <t xml:space="preserve">Difference</t>
  </si>
  <si>
    <t xml:space="preserve">Total revenue, 3 years ($)</t>
  </si>
  <si>
    <t xml:space="preserve">Net contribution, 3 years ($)</t>
  </si>
  <si>
    <t xml:space="preserve">Clients at end of year 3</t>
  </si>
  <si>
    <t xml:space="preserve">Assets under management, end of year 3 ($)</t>
  </si>
  <si>
    <t xml:space="preserve">Revenue per $1 of planner cost, 3 years</t>
  </si>
  <si>
    <t xml:space="preserve">Data-driven approach changes only conversion, retention, annuity and insurance take-up (yellow cells); everything else is identical, so the difference isolates their effect.</t>
  </si>
  <si>
    <t xml:space="preserve">Client lifetime value (one new client)</t>
  </si>
  <si>
    <t xml:space="preserve">Standard ($)</t>
  </si>
  <si>
    <t xml:space="preserve">Data-driven ($)</t>
  </si>
  <si>
    <t xml:space="preserve">Expected cash flow</t>
  </si>
  <si>
    <t xml:space="preserve">Lifetime value (NPV of 10 years)</t>
  </si>
  <si>
    <t xml:space="preserve">Value of one year's new clients</t>
  </si>
  <si>
    <t xml:space="preserve">Cash flow = survival (retention ^ years) x fee on the client's growing assets, plus expected annuity and first-year insurance commissions in year 1 and insurance renewals after. Excel NPV discounts year-end flows.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</si>
</sst>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;\(0.0%\);\-"/>
    <numFmt numFmtId="166" formatCode="\$#,##0;&quot;($&quot;#,##0\);\-"/>
    <numFmt numFmtId="167" formatCode="\$#,##0"/>
    <numFmt numFmtId="168" formatCode="0.00"/>
    <numFmt numFmtId="169" formatCode="0.0000"/>
    <numFmt numFmtId="170" formatCode="General"/>
    <numFmt numFmtId="171" formatCode="0"/>
    <numFmt numFmtId="172" formatCode="#,##0"/>
    <numFmt numFmtId="173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balance by age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Projection!H5</c:f>
              <c:strCache>
                <c:ptCount val="1"/>
                <c:pt idx="0">
                  <c:v>End balance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Projection!$B$6:$B$62</c:f>
              <c:strCache>
                <c:ptCount val="57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  <c:pt idx="41">
                  <c:v>77</c:v>
                </c:pt>
                <c:pt idx="42">
                  <c:v>78</c:v>
                </c:pt>
                <c:pt idx="43">
                  <c:v>79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</c:strCache>
            </c:strRef>
          </c:cat>
          <c:val>
            <c:numRef>
              <c:f>Projection!$H$6:$H$62</c:f>
              <c:numCache>
                <c:formatCode>\$#,##0;"($"#,##0\);\-</c:formatCode>
                <c:ptCount val="57"/>
                <c:pt idx="0">
                  <c:v>64314.375</c:v>
                </c:pt>
                <c:pt idx="1">
                  <c:v>79651.3266328125</c:v>
                </c:pt>
                <c:pt idx="2">
                  <c:v>96068.9874143288</c:v>
                </c:pt>
                <c:pt idx="3">
                  <c:v>113628.50466927</c:v>
                </c:pt>
                <c:pt idx="4">
                  <c:v>132394.189799148</c:v>
                </c:pt>
                <c:pt idx="5">
                  <c:v>152433.674751076</c:v>
                </c:pt>
                <c:pt idx="6">
                  <c:v>173818.076029465</c:v>
                </c:pt>
                <c:pt idx="7">
                  <c:v>196622.166608777</c:v>
                </c:pt>
                <c:pt idx="8">
                  <c:v>220924.556122332</c:v>
                </c:pt>
                <c:pt idx="9">
                  <c:v>246807.879719796</c:v>
                </c:pt>
                <c:pt idx="10">
                  <c:v>274358.996004455</c:v>
                </c:pt>
                <c:pt idx="11">
                  <c:v>303669.194480705</c:v>
                </c:pt>
                <c:pt idx="12">
                  <c:v>334834.412962385</c:v>
                </c:pt>
                <c:pt idx="13">
                  <c:v>367955.4654138</c:v>
                </c:pt>
                <c:pt idx="14">
                  <c:v>403138.280717403</c:v>
                </c:pt>
                <c:pt idx="15">
                  <c:v>440494.152885319</c:v>
                </c:pt>
                <c:pt idx="16">
                  <c:v>480140.003256183</c:v>
                </c:pt>
                <c:pt idx="17">
                  <c:v>522198.655244165</c:v>
                </c:pt>
                <c:pt idx="18">
                  <c:v>566799.122233658</c:v>
                </c:pt>
                <c:pt idx="19">
                  <c:v>614076.909240974</c:v>
                </c:pt>
                <c:pt idx="20">
                  <c:v>664174.328993498</c:v>
                </c:pt>
                <c:pt idx="21">
                  <c:v>717240.833107299</c:v>
                </c:pt>
                <c:pt idx="22">
                  <c:v>773433.359076082</c:v>
                </c:pt>
                <c:pt idx="23">
                  <c:v>832916.693817836</c:v>
                </c:pt>
                <c:pt idx="24">
                  <c:v>895863.854560454</c:v>
                </c:pt>
                <c:pt idx="25">
                  <c:v>962456.487884271</c:v>
                </c:pt>
                <c:pt idx="26">
                  <c:v>1032885.28777774</c:v>
                </c:pt>
                <c:pt idx="27">
                  <c:v>1107350.43360259</c:v>
                </c:pt>
                <c:pt idx="28">
                  <c:v>1186062.04890682</c:v>
                </c:pt>
                <c:pt idx="29">
                  <c:v>1269240.68206771</c:v>
                </c:pt>
                <c:pt idx="30">
                  <c:v>1273453.90308279</c:v>
                </c:pt>
                <c:pt idx="31">
                  <c:v>1276498.72463921</c:v>
                </c:pt>
                <c:pt idx="32">
                  <c:v>1278286.97897385</c:v>
                </c:pt>
                <c:pt idx="33">
                  <c:v>1278725.56512146</c:v>
                </c:pt>
                <c:pt idx="34">
                  <c:v>1277716.19926558</c:v>
                </c:pt>
                <c:pt idx="35">
                  <c:v>1275155.15300137</c:v>
                </c:pt>
                <c:pt idx="36">
                  <c:v>1270932.97893725</c:v>
                </c:pt>
                <c:pt idx="37">
                  <c:v>1264934.22303593</c:v>
                </c:pt>
                <c:pt idx="38">
                  <c:v>1257037.12306672</c:v>
                </c:pt>
                <c:pt idx="39">
                  <c:v>1247113.29251225</c:v>
                </c:pt>
                <c:pt idx="40">
                  <c:v>1235027.38924127</c:v>
                </c:pt>
                <c:pt idx="41">
                  <c:v>1220636.76822768</c:v>
                </c:pt>
                <c:pt idx="42">
                  <c:v>1203791.1175616</c:v>
                </c:pt>
                <c:pt idx="43">
                  <c:v>1184332.07696343</c:v>
                </c:pt>
                <c:pt idx="44">
                  <c:v>1162092.83797476</c:v>
                </c:pt>
                <c:pt idx="45">
                  <c:v>1136897.72496137</c:v>
                </c:pt>
                <c:pt idx="46">
                  <c:v>1108561.7560231</c:v>
                </c:pt>
                <c:pt idx="47">
                  <c:v>1076890.18286304</c:v>
                </c:pt>
                <c:pt idx="48">
                  <c:v>1041678.00862429</c:v>
                </c:pt>
                <c:pt idx="49">
                  <c:v>1002709.482656</c:v>
                </c:pt>
                <c:pt idx="50">
                  <c:v>959757.571122152</c:v>
                </c:pt>
                <c:pt idx="51">
                  <c:v>912583.40231537</c:v>
                </c:pt>
                <c:pt idx="52">
                  <c:v>860935.68548544</c:v>
                </c:pt>
                <c:pt idx="53">
                  <c:v>804550.101936131</c:v>
                </c:pt>
                <c:pt idx="54">
                  <c:v>743148.667086003</c:v>
                </c:pt>
                <c:pt idx="55">
                  <c:v>676439.062127911</c:v>
                </c:pt>
                <c:pt idx="56">
                  <c:v>604113.933858177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08298"/>
        <c:axId val="45516"/>
      </c:lineChart>
      <c:catAx>
        <c:axId val="530082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16"/>
        <c:crosses val="autoZero"/>
        <c:auto val="1"/>
        <c:lblAlgn val="ctr"/>
        <c:lblOffset val="100"/>
        <c:noMultiLvlLbl val="0"/>
      </c:catAx>
      <c:valAx>
        <c:axId val="45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End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08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balance at plan-to age: expected vs bad-luck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Scenarios!K4</c:f>
              <c:strCache>
                <c:ptCount val="1"/>
                <c:pt idx="0">
                  <c:v>Ending balance at plan-to age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Scenarios!$A$5:$B$13</c:f>
              <c:multiLvlStrCache>
                <c:ptCount val="9"/>
                <c:lvl>
                  <c:pt idx="0">
                    <c:v>-</c:v>
                  </c:pt>
                  <c:pt idx="1">
                    <c:v>5.0%</c:v>
                  </c:pt>
                  <c:pt idx="2">
                    <c:v>10.0%</c:v>
                  </c:pt>
                  <c:pt idx="3">
                    <c:v>-</c:v>
                  </c:pt>
                  <c:pt idx="4">
                    <c:v>5.0%</c:v>
                  </c:pt>
                  <c:pt idx="5">
                    <c:v>10.0%</c:v>
                  </c:pt>
                  <c:pt idx="6">
                    <c:v>-</c:v>
                  </c:pt>
                  <c:pt idx="7">
                    <c:v>5.0%</c:v>
                  </c:pt>
                  <c:pt idx="8">
                    <c:v>10.0%</c:v>
                  </c:pt>
                </c:lvl>
                <c:lvl>
                  <c:pt idx="0">
                    <c:v>Conservative</c:v>
                  </c:pt>
                  <c:pt idx="1">
                    <c:v>Conservative</c:v>
                  </c:pt>
                  <c:pt idx="2">
                    <c:v>Conservative</c:v>
                  </c:pt>
                  <c:pt idx="3">
                    <c:v>Balanced</c:v>
                  </c:pt>
                  <c:pt idx="4">
                    <c:v>Balanced</c:v>
                  </c:pt>
                  <c:pt idx="5">
                    <c:v>Balanced</c:v>
                  </c:pt>
                  <c:pt idx="6">
                    <c:v>Growth</c:v>
                  </c:pt>
                  <c:pt idx="7">
                    <c:v>Growth</c:v>
                  </c:pt>
                  <c:pt idx="8">
                    <c:v>Growth</c:v>
                  </c:pt>
                </c:lvl>
              </c:multiLvlStrCache>
            </c:multiLvlStrRef>
          </c:cat>
          <c:val>
            <c:numRef>
              <c:f>Scenarios!$K$5:$K$13</c:f>
              <c:numCache>
                <c:formatCode>\$#,##0;"($"#,##0\);\-</c:formatCode>
                <c:ptCount val="9"/>
                <c:pt idx="0">
                  <c:v>38437.209358321</c:v>
                </c:pt>
                <c:pt idx="1">
                  <c:v>-29941.4783030632</c:v>
                </c:pt>
                <c:pt idx="2">
                  <c:v>-95775.3505141349</c:v>
                </c:pt>
                <c:pt idx="3">
                  <c:v>736760.423333417</c:v>
                </c:pt>
                <c:pt idx="4">
                  <c:v>604113.933858159</c:v>
                </c:pt>
                <c:pt idx="5">
                  <c:v>478188.363705717</c:v>
                </c:pt>
                <c:pt idx="6">
                  <c:v>1935142.34219837</c:v>
                </c:pt>
                <c:pt idx="7">
                  <c:v>1675718.52838486</c:v>
                </c:pt>
                <c:pt idx="8">
                  <c:v>1433429.20279179</c:v>
                </c:pt>
              </c:numCache>
            </c:numRef>
          </c:val>
        </c:ser>
        <c:ser>
          <c:idx val="1"/>
          <c:order val="1"/>
          <c:tx>
            <c:strRef>
              <c:f>Scenarios!N4</c:f>
              <c:strCache>
                <c:ptCount val="1"/>
                <c:pt idx="0">
                  <c:v>Bad-luck ending balance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Scenarios!$A$5:$B$13</c:f>
              <c:multiLvlStrCache>
                <c:ptCount val="9"/>
                <c:lvl>
                  <c:pt idx="0">
                    <c:v>-</c:v>
                  </c:pt>
                  <c:pt idx="1">
                    <c:v>5.0%</c:v>
                  </c:pt>
                  <c:pt idx="2">
                    <c:v>10.0%</c:v>
                  </c:pt>
                  <c:pt idx="3">
                    <c:v>-</c:v>
                  </c:pt>
                  <c:pt idx="4">
                    <c:v>5.0%</c:v>
                  </c:pt>
                  <c:pt idx="5">
                    <c:v>10.0%</c:v>
                  </c:pt>
                  <c:pt idx="6">
                    <c:v>-</c:v>
                  </c:pt>
                  <c:pt idx="7">
                    <c:v>5.0%</c:v>
                  </c:pt>
                  <c:pt idx="8">
                    <c:v>10.0%</c:v>
                  </c:pt>
                </c:lvl>
                <c:lvl>
                  <c:pt idx="0">
                    <c:v>Conservative</c:v>
                  </c:pt>
                  <c:pt idx="1">
                    <c:v>Conservative</c:v>
                  </c:pt>
                  <c:pt idx="2">
                    <c:v>Conservative</c:v>
                  </c:pt>
                  <c:pt idx="3">
                    <c:v>Balanced</c:v>
                  </c:pt>
                  <c:pt idx="4">
                    <c:v>Balanced</c:v>
                  </c:pt>
                  <c:pt idx="5">
                    <c:v>Balanced</c:v>
                  </c:pt>
                  <c:pt idx="6">
                    <c:v>Growth</c:v>
                  </c:pt>
                  <c:pt idx="7">
                    <c:v>Growth</c:v>
                  </c:pt>
                  <c:pt idx="8">
                    <c:v>Growth</c:v>
                  </c:pt>
                </c:lvl>
              </c:multiLvlStrCache>
            </c:multiLvlStrRef>
          </c:cat>
          <c:val>
            <c:numRef>
              <c:f>Scenarios!$N$5:$N$13</c:f>
              <c:numCache>
                <c:formatCode>\$#,##0;"($"#,##0\);\-</c:formatCode>
                <c:ptCount val="9"/>
                <c:pt idx="0">
                  <c:v>-1098509.47838456</c:v>
                </c:pt>
                <c:pt idx="1">
                  <c:v>-1100758.60370974</c:v>
                </c:pt>
                <c:pt idx="2">
                  <c:v>-1103726.80365842</c:v>
                </c:pt>
                <c:pt idx="3">
                  <c:v>-1096330.30014993</c:v>
                </c:pt>
                <c:pt idx="4">
                  <c:v>-1095259.18119452</c:v>
                </c:pt>
                <c:pt idx="5">
                  <c:v>-1094835.8489288</c:v>
                </c:pt>
                <c:pt idx="6">
                  <c:v>-1140047.06806181</c:v>
                </c:pt>
                <c:pt idx="7">
                  <c:v>-1134537.66183452</c:v>
                </c:pt>
                <c:pt idx="8">
                  <c:v>-1129435.78302394</c:v>
                </c:pt>
              </c:numCache>
            </c:numRef>
          </c:val>
        </c:ser>
        <c:gapWidth val="150"/>
        <c:overlap val="0"/>
        <c:axId val="8450220"/>
        <c:axId val="31534961"/>
      </c:barChart>
      <c:catAx>
        <c:axId val="8450220"/>
        <c:scaling>
          <c:orientation val="minMax"/>
        </c:scaling>
        <c:delete val="0"/>
        <c:axPos val="b"/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34961"/>
        <c:crosses val="autoZero"/>
        <c:auto val="1"/>
        <c:lblAlgn val="ctr"/>
        <c:lblOffset val="100"/>
        <c:noMultiLvlLbl val="0"/>
      </c:catAx>
      <c:valAx>
        <c:axId val="31534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Ending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02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After-tax value at retirement by account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'Account Comparison'!F25</c:f>
              <c:strCache>
                <c:ptCount val="1"/>
                <c:pt idx="0">
                  <c:v>After-tax value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'Account Comparison'!$A$26:$A$29</c:f>
              <c:strCache>
                <c:ptCount val="4"/>
                <c:pt idx="0">
                  <c:v>Taxable brokerage</c:v>
                </c:pt>
                <c:pt idx="1">
                  <c:v>Traditional IRA</c:v>
                </c:pt>
                <c:pt idx="2">
                  <c:v>Roth IRA</c:v>
                </c:pt>
                <c:pt idx="3">
                  <c:v>401(k) with employer match</c:v>
                </c:pt>
              </c:strCache>
            </c:strRef>
          </c:cat>
          <c:val>
            <c:numRef>
              <c:f>'Account Comparison'!$F$26:$F$29</c:f>
              <c:numCache>
                <c:formatCode>\$#,##0;"($"#,##0\);\-</c:formatCode>
                <c:ptCount val="4"/>
                <c:pt idx="0">
                  <c:v>455309.845687252</c:v>
                </c:pt>
                <c:pt idx="1">
                  <c:v>591210.409103393</c:v>
                </c:pt>
                <c:pt idx="2">
                  <c:v>524027.408068917</c:v>
                </c:pt>
                <c:pt idx="3">
                  <c:v>768573.531834411</c:v>
                </c:pt>
              </c:numCache>
            </c:numRef>
          </c:val>
        </c:ser>
        <c:gapWidth val="150"/>
        <c:overlap val="0"/>
        <c:axId val="92242416"/>
        <c:axId val="69356303"/>
      </c:barChart>
      <c:catAx>
        <c:axId val="922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56303"/>
        <c:crosses val="autoZero"/>
        <c:auto val="1"/>
        <c:lblAlgn val="ctr"/>
        <c:lblOffset val="100"/>
        <c:noMultiLvlLbl val="0"/>
      </c:catAx>
      <c:valAx>
        <c:axId val="6935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After-tax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42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balance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 plan"</c:f>
              <c:strCache>
                <c:ptCount val="1"/>
                <c:pt idx="0">
                  <c:v>Base plan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Cash Flow'!$A$21:$A$44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'Business Cash Flow'!$F$21:$F$44</c:f>
              <c:numCache>
                <c:formatCode>\$#,##0;"($"#,##0\);\-</c:formatCode>
                <c:ptCount val="24"/>
                <c:pt idx="0">
                  <c:v>283968.75</c:v>
                </c:pt>
                <c:pt idx="1">
                  <c:v>268806.5625</c:v>
                </c:pt>
                <c:pt idx="2">
                  <c:v>254539.509375</c:v>
                </c:pt>
                <c:pt idx="3">
                  <c:v>241194.44465625</c:v>
                </c:pt>
                <c:pt idx="4">
                  <c:v>228799.027995938</c:v>
                </c:pt>
                <c:pt idx="5">
                  <c:v>217381.748835816</c:v>
                </c:pt>
                <c:pt idx="6">
                  <c:v>206971.95130089</c:v>
                </c:pt>
                <c:pt idx="7">
                  <c:v>197599.859839917</c:v>
                </c:pt>
                <c:pt idx="8">
                  <c:v>189296.605635114</c:v>
                </c:pt>
                <c:pt idx="9">
                  <c:v>182094.253804168</c:v>
                </c:pt>
                <c:pt idx="10">
                  <c:v>176025.831418293</c:v>
                </c:pt>
                <c:pt idx="11">
                  <c:v>171125.356360842</c:v>
                </c:pt>
                <c:pt idx="12">
                  <c:v>167427.867051667</c:v>
                </c:pt>
                <c:pt idx="13">
                  <c:v>164969.453063217</c:v>
                </c:pt>
                <c:pt idx="14">
                  <c:v>163787.286655113</c:v>
                </c:pt>
                <c:pt idx="15">
                  <c:v>163919.655254767</c:v>
                </c:pt>
                <c:pt idx="16">
                  <c:v>165405.99491241</c:v>
                </c:pt>
                <c:pt idx="17">
                  <c:v>168286.924759782</c:v>
                </c:pt>
                <c:pt idx="18">
                  <c:v>172604.282502576</c:v>
                </c:pt>
                <c:pt idx="19">
                  <c:v>178401.160977653</c:v>
                </c:pt>
                <c:pt idx="20">
                  <c:v>185721.945806983</c:v>
                </c:pt>
                <c:pt idx="21">
                  <c:v>194612.354181192</c:v>
                </c:pt>
                <c:pt idx="22">
                  <c:v>205119.474806628</c:v>
                </c:pt>
                <c:pt idx="23">
                  <c:v>217291.809050827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"Raise price 10%"</c:f>
              <c:strCache>
                <c:ptCount val="1"/>
                <c:pt idx="0">
                  <c:v>Raise price 10%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Cash Flow'!$A$21:$A$44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'Business Cash Flow'!$M$21:$M$44</c:f>
              <c:numCache>
                <c:formatCode>\$#,##0;"($"#,##0\);\-</c:formatCode>
                <c:ptCount val="24"/>
                <c:pt idx="0">
                  <c:v>286710.9375</c:v>
                </c:pt>
                <c:pt idx="1">
                  <c:v>274214.6484375</c:v>
                </c:pt>
                <c:pt idx="2">
                  <c:v>262530.952148438</c:v>
                </c:pt>
                <c:pt idx="3">
                  <c:v>251680.163452148</c:v>
                </c:pt>
                <c:pt idx="4">
                  <c:v>241683.105038452</c:v>
                </c:pt>
                <c:pt idx="5">
                  <c:v>232561.120164414</c:v>
                </c:pt>
                <c:pt idx="6">
                  <c:v>224336.085668524</c:v>
                </c:pt>
                <c:pt idx="7">
                  <c:v>217030.425310237</c:v>
                </c:pt>
                <c:pt idx="8">
                  <c:v>210667.123442993</c:v>
                </c:pt>
                <c:pt idx="9">
                  <c:v>205269.739029068</c:v>
                </c:pt>
                <c:pt idx="10">
                  <c:v>200862.420004795</c:v>
                </c:pt>
                <c:pt idx="11">
                  <c:v>197469.918004915</c:v>
                </c:pt>
                <c:pt idx="12">
                  <c:v>195117.603455038</c:v>
                </c:pt>
                <c:pt idx="13">
                  <c:v>193831.481041414</c:v>
                </c:pt>
                <c:pt idx="14">
                  <c:v>193638.205567449</c:v>
                </c:pt>
                <c:pt idx="15">
                  <c:v>194565.098206635</c:v>
                </c:pt>
                <c:pt idx="16">
                  <c:v>196640.163161801</c:v>
                </c:pt>
                <c:pt idx="17">
                  <c:v>199892.104740846</c:v>
                </c:pt>
                <c:pt idx="18">
                  <c:v>204350.344859368</c:v>
                </c:pt>
                <c:pt idx="19">
                  <c:v>210045.040980852</c:v>
                </c:pt>
                <c:pt idx="20">
                  <c:v>217007.104505373</c:v>
                </c:pt>
                <c:pt idx="21">
                  <c:v>225268.219618008</c:v>
                </c:pt>
                <c:pt idx="22">
                  <c:v>234860.862608458</c:v>
                </c:pt>
                <c:pt idx="23">
                  <c:v>245818.32167367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"Cut fixed costs 10%"</c:f>
              <c:strCache>
                <c:ptCount val="1"/>
                <c:pt idx="0">
                  <c:v>Cut fixed costs 10%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Cash Flow'!$A$21:$A$44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'Business Cash Flow'!$T$21:$T$44</c:f>
              <c:numCache>
                <c:formatCode>\$#,##0;"($"#,##0\);\-</c:formatCode>
                <c:ptCount val="24"/>
                <c:pt idx="0">
                  <c:v>288468.75</c:v>
                </c:pt>
                <c:pt idx="1">
                  <c:v>277806.5625</c:v>
                </c:pt>
                <c:pt idx="2">
                  <c:v>268039.509375</c:v>
                </c:pt>
                <c:pt idx="3">
                  <c:v>259194.44465625</c:v>
                </c:pt>
                <c:pt idx="4">
                  <c:v>251299.027995938</c:v>
                </c:pt>
                <c:pt idx="5">
                  <c:v>244381.748835816</c:v>
                </c:pt>
                <c:pt idx="6">
                  <c:v>238471.95130089</c:v>
                </c:pt>
                <c:pt idx="7">
                  <c:v>233599.859839917</c:v>
                </c:pt>
                <c:pt idx="8">
                  <c:v>229796.605635114</c:v>
                </c:pt>
                <c:pt idx="9">
                  <c:v>227094.253804168</c:v>
                </c:pt>
                <c:pt idx="10">
                  <c:v>225525.831418293</c:v>
                </c:pt>
                <c:pt idx="11">
                  <c:v>225125.356360842</c:v>
                </c:pt>
                <c:pt idx="12">
                  <c:v>225927.867051667</c:v>
                </c:pt>
                <c:pt idx="13">
                  <c:v>227969.453063217</c:v>
                </c:pt>
                <c:pt idx="14">
                  <c:v>231287.286655113</c:v>
                </c:pt>
                <c:pt idx="15">
                  <c:v>235919.655254767</c:v>
                </c:pt>
                <c:pt idx="16">
                  <c:v>241905.99491241</c:v>
                </c:pt>
                <c:pt idx="17">
                  <c:v>249286.924759782</c:v>
                </c:pt>
                <c:pt idx="18">
                  <c:v>258104.282502576</c:v>
                </c:pt>
                <c:pt idx="19">
                  <c:v>268401.160977653</c:v>
                </c:pt>
                <c:pt idx="20">
                  <c:v>280221.945806982</c:v>
                </c:pt>
                <c:pt idx="21">
                  <c:v>293612.354181192</c:v>
                </c:pt>
                <c:pt idx="22">
                  <c:v>308619.474806628</c:v>
                </c:pt>
                <c:pt idx="23">
                  <c:v>325291.809050827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"Downturn"</c:f>
              <c:strCache>
                <c:ptCount val="1"/>
                <c:pt idx="0">
                  <c:v>Downturn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Cash Flow'!$A$21:$A$44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'Business Cash Flow'!$AA$21:$AA$44</c:f>
              <c:numCache>
                <c:formatCode>\$#,##0;"($"#,##0\);\-</c:formatCode>
                <c:ptCount val="24"/>
                <c:pt idx="0">
                  <c:v>282281.25</c:v>
                </c:pt>
                <c:pt idx="1">
                  <c:v>263744.0625</c:v>
                </c:pt>
                <c:pt idx="2">
                  <c:v>244412.990625</c:v>
                </c:pt>
                <c:pt idx="3">
                  <c:v>224311.85090625</c:v>
                </c:pt>
                <c:pt idx="4">
                  <c:v>203463.745379063</c:v>
                </c:pt>
                <c:pt idx="5">
                  <c:v>181891.083017691</c:v>
                </c:pt>
                <c:pt idx="6">
                  <c:v>159615.60052716</c:v>
                </c:pt>
                <c:pt idx="7">
                  <c:v>136658.382511345</c:v>
                </c:pt>
                <c:pt idx="8">
                  <c:v>113039.881036005</c:v>
                </c:pt>
                <c:pt idx="9">
                  <c:v>88779.9346049246</c:v>
                </c:pt>
                <c:pt idx="10">
                  <c:v>63897.7865667769</c:v>
                </c:pt>
                <c:pt idx="11">
                  <c:v>38412.1029697735</c:v>
                </c:pt>
                <c:pt idx="12">
                  <c:v>12340.9898806803</c:v>
                </c:pt>
                <c:pt idx="13">
                  <c:v>-14297.9898157401</c:v>
                </c:pt>
                <c:pt idx="14">
                  <c:v>-41487.8001212679</c:v>
                </c:pt>
                <c:pt idx="15">
                  <c:v>-69211.9161176299</c:v>
                </c:pt>
                <c:pt idx="16">
                  <c:v>-97454.308634101</c:v>
                </c:pt>
                <c:pt idx="17">
                  <c:v>-126199.429375078</c:v>
                </c:pt>
                <c:pt idx="18">
                  <c:v>-155432.196493826</c:v>
                </c:pt>
                <c:pt idx="19">
                  <c:v>-185137.980599011</c:v>
                </c:pt>
                <c:pt idx="20">
                  <c:v>-215302.591181041</c:v>
                </c:pt>
                <c:pt idx="21">
                  <c:v>-245912.263445609</c:v>
                </c:pt>
                <c:pt idx="22">
                  <c:v>-276953.645542241</c:v>
                </c:pt>
                <c:pt idx="23">
                  <c:v>-308413.786175974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8466"/>
        <c:axId val="32959632"/>
      </c:lineChart>
      <c:catAx>
        <c:axId val="5968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59632"/>
        <c:crosses val="autoZero"/>
        <c:auto val="1"/>
        <c:lblAlgn val="ctr"/>
        <c:lblOffset val="100"/>
        <c:noMultiLvlLbl val="0"/>
      </c:catAx>
      <c:valAx>
        <c:axId val="32959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Cash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84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Simulated cash range (10th-90th percentile)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Simulation!B13</c:f>
              <c:strCache>
                <c:ptCount val="1"/>
                <c:pt idx="0">
                  <c:v>10th pct cash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Simulation!$A$14:$A$37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Simulation!$B$14:$B$37</c:f>
              <c:numCache>
                <c:formatCode>\$#,##0;"($"#,##0\);\-</c:formatCode>
                <c:ptCount val="24"/>
                <c:pt idx="0">
                  <c:v>283278.313455404</c:v>
                </c:pt>
                <c:pt idx="1">
                  <c:v>266919.351390576</c:v>
                </c:pt>
                <c:pt idx="2">
                  <c:v>250824.541218165</c:v>
                </c:pt>
                <c:pt idx="3">
                  <c:v>234946.858421416</c:v>
                </c:pt>
                <c:pt idx="4">
                  <c:v>219409.879471473</c:v>
                </c:pt>
                <c:pt idx="5">
                  <c:v>204445.211906426</c:v>
                </c:pt>
                <c:pt idx="6">
                  <c:v>189800.751988383</c:v>
                </c:pt>
                <c:pt idx="7">
                  <c:v>175394.379168668</c:v>
                </c:pt>
                <c:pt idx="8">
                  <c:v>161205.887060302</c:v>
                </c:pt>
                <c:pt idx="9">
                  <c:v>147345.591560399</c:v>
                </c:pt>
                <c:pt idx="10">
                  <c:v>133921.029489227</c:v>
                </c:pt>
                <c:pt idx="11">
                  <c:v>120608.378101874</c:v>
                </c:pt>
                <c:pt idx="12">
                  <c:v>107590.642169698</c:v>
                </c:pt>
                <c:pt idx="13">
                  <c:v>94899.9040073781</c:v>
                </c:pt>
                <c:pt idx="14">
                  <c:v>81914.0519392617</c:v>
                </c:pt>
                <c:pt idx="15">
                  <c:v>70709.6345832121</c:v>
                </c:pt>
                <c:pt idx="16">
                  <c:v>58632.6572177602</c:v>
                </c:pt>
                <c:pt idx="17">
                  <c:v>47297.0868957291</c:v>
                </c:pt>
                <c:pt idx="18">
                  <c:v>36061.765526407</c:v>
                </c:pt>
                <c:pt idx="19">
                  <c:v>24803.3707435091</c:v>
                </c:pt>
                <c:pt idx="20">
                  <c:v>14220.282904403</c:v>
                </c:pt>
                <c:pt idx="21">
                  <c:v>3972.58248790927</c:v>
                </c:pt>
                <c:pt idx="22">
                  <c:v>-5020.48315397974</c:v>
                </c:pt>
                <c:pt idx="23">
                  <c:v>-13994.2561517062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Simulation!C13</c:f>
              <c:strCache>
                <c:ptCount val="1"/>
                <c:pt idx="0">
                  <c:v>25th pct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Simulation!$A$14:$A$37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Simulation!$C$14:$C$37</c:f>
              <c:numCache>
                <c:formatCode>\$#,##0;"($"#,##0\);\-</c:formatCode>
                <c:ptCount val="24"/>
                <c:pt idx="0">
                  <c:v>283606.434274778</c:v>
                </c:pt>
                <c:pt idx="1">
                  <c:v>267791.413619088</c:v>
                </c:pt>
                <c:pt idx="2">
                  <c:v>252562.771721145</c:v>
                </c:pt>
                <c:pt idx="3">
                  <c:v>238015.250559749</c:v>
                </c:pt>
                <c:pt idx="4">
                  <c:v>224021.81305143</c:v>
                </c:pt>
                <c:pt idx="5">
                  <c:v>210434.571980027</c:v>
                </c:pt>
                <c:pt idx="6">
                  <c:v>197573.250034407</c:v>
                </c:pt>
                <c:pt idx="7">
                  <c:v>185400.584978731</c:v>
                </c:pt>
                <c:pt idx="8">
                  <c:v>173987.935218337</c:v>
                </c:pt>
                <c:pt idx="9">
                  <c:v>162832.807053101</c:v>
                </c:pt>
                <c:pt idx="10">
                  <c:v>152734.201487144</c:v>
                </c:pt>
                <c:pt idx="11">
                  <c:v>143039.211968551</c:v>
                </c:pt>
                <c:pt idx="12">
                  <c:v>133828.591838716</c:v>
                </c:pt>
                <c:pt idx="13">
                  <c:v>125160.889798924</c:v>
                </c:pt>
                <c:pt idx="14">
                  <c:v>117574.154248245</c:v>
                </c:pt>
                <c:pt idx="15">
                  <c:v>110744.715458241</c:v>
                </c:pt>
                <c:pt idx="16">
                  <c:v>104850.266706223</c:v>
                </c:pt>
                <c:pt idx="17">
                  <c:v>99323.3294359762</c:v>
                </c:pt>
                <c:pt idx="18">
                  <c:v>94911.7169690116</c:v>
                </c:pt>
                <c:pt idx="19">
                  <c:v>90791.0464293122</c:v>
                </c:pt>
                <c:pt idx="20">
                  <c:v>87412.4562059444</c:v>
                </c:pt>
                <c:pt idx="21">
                  <c:v>85042.8780271459</c:v>
                </c:pt>
                <c:pt idx="22">
                  <c:v>83003.9349181176</c:v>
                </c:pt>
                <c:pt idx="23">
                  <c:v>82714.1430095813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Simulation!D13</c:f>
              <c:strCache>
                <c:ptCount val="1"/>
                <c:pt idx="0">
                  <c:v>Median ($)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Simulation!$A$14:$A$37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Simulation!$D$14:$D$37</c:f>
              <c:numCache>
                <c:formatCode>\$#,##0;"($"#,##0\);\-</c:formatCode>
                <c:ptCount val="24"/>
                <c:pt idx="0">
                  <c:v>283955.04844141</c:v>
                </c:pt>
                <c:pt idx="1">
                  <c:v>268752.245961175</c:v>
                </c:pt>
                <c:pt idx="2">
                  <c:v>254480.214609974</c:v>
                </c:pt>
                <c:pt idx="3">
                  <c:v>241179.772799823</c:v>
                </c:pt>
                <c:pt idx="4">
                  <c:v>228913.182985958</c:v>
                </c:pt>
                <c:pt idx="5">
                  <c:v>217663.280379433</c:v>
                </c:pt>
                <c:pt idx="6">
                  <c:v>207429.074679693</c:v>
                </c:pt>
                <c:pt idx="7">
                  <c:v>198286.769042046</c:v>
                </c:pt>
                <c:pt idx="8">
                  <c:v>190114.992822404</c:v>
                </c:pt>
                <c:pt idx="9">
                  <c:v>183008.330026796</c:v>
                </c:pt>
                <c:pt idx="10">
                  <c:v>176953.073091698</c:v>
                </c:pt>
                <c:pt idx="11">
                  <c:v>172294.988797324</c:v>
                </c:pt>
                <c:pt idx="12">
                  <c:v>168379.552858966</c:v>
                </c:pt>
                <c:pt idx="13">
                  <c:v>165949.203179767</c:v>
                </c:pt>
                <c:pt idx="14">
                  <c:v>165312.171986912</c:v>
                </c:pt>
                <c:pt idx="15">
                  <c:v>165182.783817411</c:v>
                </c:pt>
                <c:pt idx="16">
                  <c:v>166973.951796604</c:v>
                </c:pt>
                <c:pt idx="17">
                  <c:v>169815.680295185</c:v>
                </c:pt>
                <c:pt idx="18">
                  <c:v>175084.217198127</c:v>
                </c:pt>
                <c:pt idx="19">
                  <c:v>181224.397558792</c:v>
                </c:pt>
                <c:pt idx="20">
                  <c:v>188956.540958388</c:v>
                </c:pt>
                <c:pt idx="21">
                  <c:v>198451.367424074</c:v>
                </c:pt>
                <c:pt idx="22">
                  <c:v>209824.749228395</c:v>
                </c:pt>
                <c:pt idx="23">
                  <c:v>221752.534258649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Simulation!E13</c:f>
              <c:strCache>
                <c:ptCount val="1"/>
                <c:pt idx="0">
                  <c:v>75th pct ($)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Simulation!$A$14:$A$37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Simulation!$E$14:$E$37</c:f>
              <c:numCache>
                <c:formatCode>\$#,##0;"($"#,##0\);\-</c:formatCode>
                <c:ptCount val="24"/>
                <c:pt idx="0">
                  <c:v>284311.156633706</c:v>
                </c:pt>
                <c:pt idx="1">
                  <c:v>269823.98785859</c:v>
                </c:pt>
                <c:pt idx="2">
                  <c:v>256519.203152275</c:v>
                </c:pt>
                <c:pt idx="3">
                  <c:v>244438.666715111</c:v>
                </c:pt>
                <c:pt idx="4">
                  <c:v>233867.226311013</c:v>
                </c:pt>
                <c:pt idx="5">
                  <c:v>224675.454063762</c:v>
                </c:pt>
                <c:pt idx="6">
                  <c:v>216873.70251812</c:v>
                </c:pt>
                <c:pt idx="7">
                  <c:v>210437.195068403</c:v>
                </c:pt>
                <c:pt idx="8">
                  <c:v>205470.194185395</c:v>
                </c:pt>
                <c:pt idx="9">
                  <c:v>202353.915122047</c:v>
                </c:pt>
                <c:pt idx="10">
                  <c:v>200909.266744485</c:v>
                </c:pt>
                <c:pt idx="11">
                  <c:v>201467.559876373</c:v>
                </c:pt>
                <c:pt idx="12">
                  <c:v>203887.530521546</c:v>
                </c:pt>
                <c:pt idx="13">
                  <c:v>208219.478367309</c:v>
                </c:pt>
                <c:pt idx="14">
                  <c:v>214329.285345514</c:v>
                </c:pt>
                <c:pt idx="15">
                  <c:v>222545.673110458</c:v>
                </c:pt>
                <c:pt idx="16">
                  <c:v>232232.21424509</c:v>
                </c:pt>
                <c:pt idx="17">
                  <c:v>243977.441059229</c:v>
                </c:pt>
                <c:pt idx="18">
                  <c:v>257936.647977157</c:v>
                </c:pt>
                <c:pt idx="19">
                  <c:v>274253.569860572</c:v>
                </c:pt>
                <c:pt idx="20">
                  <c:v>293111.772139178</c:v>
                </c:pt>
                <c:pt idx="21">
                  <c:v>314773.096346779</c:v>
                </c:pt>
                <c:pt idx="22">
                  <c:v>340325.32930674</c:v>
                </c:pt>
                <c:pt idx="23">
                  <c:v>367996.521827365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Simulation!F13</c:f>
              <c:strCache>
                <c:ptCount val="1"/>
                <c:pt idx="0">
                  <c:v>90th pct ($)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Simulation!$A$14:$A$37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Simulation!$F$14:$F$37</c:f>
              <c:numCache>
                <c:formatCode>\$#,##0;"($"#,##0\);\-</c:formatCode>
                <c:ptCount val="24"/>
                <c:pt idx="0">
                  <c:v>284624.699958529</c:v>
                </c:pt>
                <c:pt idx="1">
                  <c:v>270740.401964018</c:v>
                </c:pt>
                <c:pt idx="2">
                  <c:v>258383.136643658</c:v>
                </c:pt>
                <c:pt idx="3">
                  <c:v>247743.622380614</c:v>
                </c:pt>
                <c:pt idx="4">
                  <c:v>238825.182755501</c:v>
                </c:pt>
                <c:pt idx="5">
                  <c:v>231675.705037508</c:v>
                </c:pt>
                <c:pt idx="6">
                  <c:v>226280.56428274</c:v>
                </c:pt>
                <c:pt idx="7">
                  <c:v>222569.726155778</c:v>
                </c:pt>
                <c:pt idx="8">
                  <c:v>221474.029250079</c:v>
                </c:pt>
                <c:pt idx="9">
                  <c:v>222276.025138175</c:v>
                </c:pt>
                <c:pt idx="10">
                  <c:v>224784.651042409</c:v>
                </c:pt>
                <c:pt idx="11">
                  <c:v>230400.891585706</c:v>
                </c:pt>
                <c:pt idx="12">
                  <c:v>238776.255184602</c:v>
                </c:pt>
                <c:pt idx="13">
                  <c:v>249747.417072308</c:v>
                </c:pt>
                <c:pt idx="14">
                  <c:v>262949.85233912</c:v>
                </c:pt>
                <c:pt idx="15">
                  <c:v>279594.79257325</c:v>
                </c:pt>
                <c:pt idx="16">
                  <c:v>299254.364315212</c:v>
                </c:pt>
                <c:pt idx="17">
                  <c:v>323224.66932271</c:v>
                </c:pt>
                <c:pt idx="18">
                  <c:v>349672.993969599</c:v>
                </c:pt>
                <c:pt idx="19">
                  <c:v>379066.332495837</c:v>
                </c:pt>
                <c:pt idx="20">
                  <c:v>413576.745761089</c:v>
                </c:pt>
                <c:pt idx="21">
                  <c:v>449695.215433931</c:v>
                </c:pt>
                <c:pt idx="22">
                  <c:v>492153.262649722</c:v>
                </c:pt>
                <c:pt idx="23">
                  <c:v>537479.029202344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97644"/>
        <c:axId val="62203907"/>
      </c:lineChart>
      <c:catAx>
        <c:axId val="37397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3907"/>
        <c:crosses val="autoZero"/>
        <c:auto val="1"/>
        <c:lblAlgn val="ctr"/>
        <c:lblOffset val="100"/>
        <c:noMultiLvlLbl val="0"/>
      </c:catAx>
      <c:valAx>
        <c:axId val="62203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976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year: standard vs data-driven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"Standard"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'Practice ROI'!$B$22:$D$22</c:f>
              <c:multiLvlStrCache>
                <c:ptCount val="1"/>
                <c:lvl>
                  <c:pt idx="0">
                    <c:v>Standard Y3</c:v>
                  </c:pt>
                </c:lvl>
                <c:lvl>
                  <c:pt idx="0">
                    <c:v>Standard Y2</c:v>
                  </c:pt>
                </c:lvl>
                <c:lvl>
                  <c:pt idx="0">
                    <c:v>Standard Y1</c:v>
                  </c:pt>
                </c:lvl>
              </c:multiLvlStrCache>
            </c:multiLvlStrRef>
          </c:cat>
          <c:val>
            <c:numRef>
              <c:f>'Practice ROI'!$B$32:$D$32</c:f>
              <c:numCache>
                <c:formatCode>\$#,##0;"($"#,##0\);\-</c:formatCode>
                <c:ptCount val="3"/>
                <c:pt idx="0">
                  <c:v>35820</c:v>
                </c:pt>
                <c:pt idx="1">
                  <c:v>51276.52719</c:v>
                </c:pt>
                <c:pt idx="2">
                  <c:v>68172.4945625706</c:v>
                </c:pt>
              </c:numCache>
            </c:numRef>
          </c:val>
        </c:ser>
        <c:ser>
          <c:idx val="1"/>
          <c:order val="1"/>
          <c:tx>
            <c:strRef>
              <c:f>"Data-driven"</c:f>
              <c:strCache>
                <c:ptCount val="1"/>
                <c:pt idx="0">
                  <c:v>Data-driven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'Practice ROI'!$B$22:$D$22</c:f>
              <c:multiLvlStrCache>
                <c:ptCount val="1"/>
                <c:lvl>
                  <c:pt idx="0">
                    <c:v>Standard Y3</c:v>
                  </c:pt>
                </c:lvl>
                <c:lvl>
                  <c:pt idx="0">
                    <c:v>Standard Y2</c:v>
                  </c:pt>
                </c:lvl>
                <c:lvl>
                  <c:pt idx="0">
                    <c:v>Standard Y1</c:v>
                  </c:pt>
                </c:lvl>
              </c:multiLvlStrCache>
            </c:multiLvlStrRef>
          </c:cat>
          <c:val>
            <c:numRef>
              <c:f>'Practice ROI'!$E$32:$G$32</c:f>
              <c:numCache>
                <c:formatCode>\$#,##0;"($"#,##0\);\-</c:formatCode>
                <c:ptCount val="3"/>
                <c:pt idx="0">
                  <c:v>56640</c:v>
                </c:pt>
                <c:pt idx="1">
                  <c:v>77786.50845</c:v>
                </c:pt>
                <c:pt idx="2">
                  <c:v>101619.19794091</c:v>
                </c:pt>
              </c:numCache>
            </c:numRef>
          </c:val>
        </c:ser>
        <c:gapWidth val="150"/>
        <c:overlap val="0"/>
        <c:axId val="18989738"/>
        <c:axId val="46914933"/>
      </c:barChart>
      <c:catAx>
        <c:axId val="18989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14933"/>
        <c:crosses val="autoZero"/>
        <c:auto val="1"/>
        <c:lblAlgn val="ctr"/>
        <c:lblOffset val="100"/>
        <c:noMultiLvlLbl val="0"/>
      </c:catAx>
      <c:valAx>
        <c:axId val="46914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97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13</xdr:col>
      <xdr:colOff>364320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441756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160560</xdr:rowOff>
    </xdr:from>
    <xdr:to>
      <xdr:col>13</xdr:col>
      <xdr:colOff>364320</xdr:colOff>
      <xdr:row>34</xdr:row>
      <xdr:rowOff>182520</xdr:rowOff>
    </xdr:to>
    <xdr:graphicFrame>
      <xdr:nvGraphicFramePr>
        <xdr:cNvPr id="1" name="Chart 2"/>
        <xdr:cNvGraphicFramePr/>
      </xdr:nvGraphicFramePr>
      <xdr:xfrm>
        <a:off x="4417560" y="3809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17</xdr:row>
      <xdr:rowOff>182880</xdr:rowOff>
    </xdr:to>
    <xdr:graphicFrame>
      <xdr:nvGraphicFramePr>
        <xdr:cNvPr id="2" name="Chart 1"/>
        <xdr:cNvGraphicFramePr/>
      </xdr:nvGraphicFramePr>
      <xdr:xfrm>
        <a:off x="125938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15</xdr:col>
      <xdr:colOff>558720</xdr:colOff>
      <xdr:row>13</xdr:row>
      <xdr:rowOff>130680</xdr:rowOff>
    </xdr:to>
    <xdr:graphicFrame>
      <xdr:nvGraphicFramePr>
        <xdr:cNvPr id="3" name="Chart 1"/>
        <xdr:cNvGraphicFramePr/>
      </xdr:nvGraphicFramePr>
      <xdr:xfrm>
        <a:off x="1113660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17</xdr:row>
      <xdr:rowOff>32400</xdr:rowOff>
    </xdr:to>
    <xdr:graphicFrame>
      <xdr:nvGraphicFramePr>
        <xdr:cNvPr id="4" name="Chart 1"/>
        <xdr:cNvGraphicFramePr/>
      </xdr:nvGraphicFramePr>
      <xdr:xfrm>
        <a:off x="935172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256320</xdr:colOff>
      <xdr:row>17</xdr:row>
      <xdr:rowOff>32400</xdr:rowOff>
    </xdr:to>
    <xdr:graphicFrame>
      <xdr:nvGraphicFramePr>
        <xdr:cNvPr id="5" name="Chart 1"/>
        <xdr:cNvGraphicFramePr/>
      </xdr:nvGraphicFramePr>
      <xdr:xfrm>
        <a:off x="111139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tr">
        <f aca="false">Assumptions!B18</f>
        <v>Balanced</v>
      </c>
    </row>
    <row r="6" customFormat="false" ht="15" hidden="false" customHeight="false" outlineLevel="0" collapsed="false">
      <c r="A6" s="4" t="s">
        <v>5</v>
      </c>
      <c r="B6" s="6" t="n">
        <f aca="false">Assumptions!B17</f>
        <v>0.05</v>
      </c>
    </row>
    <row r="7" customFormat="false" ht="15" hidden="false" customHeight="false" outlineLevel="0" collapsed="false">
      <c r="A7" s="4" t="s">
        <v>6</v>
      </c>
      <c r="B7" s="6" t="n">
        <f aca="false">Projection!H2</f>
        <v>0.0462875</v>
      </c>
    </row>
    <row r="8" customFormat="false" ht="15" hidden="false" customHeight="false" outlineLevel="0" collapsed="false">
      <c r="A8" s="4" t="s">
        <v>7</v>
      </c>
      <c r="B8" s="6" t="n">
        <f aca="false">INDEX(Scenarios!H5:H13,Scenarios!B15)</f>
        <v>0.0961217795299276</v>
      </c>
    </row>
    <row r="9" customFormat="false" ht="15" hidden="false" customHeight="false" outlineLevel="0" collapsed="false">
      <c r="A9" s="4" t="s">
        <v>8</v>
      </c>
      <c r="B9" s="7" t="n">
        <f aca="false">INDEX(Projection!H6:H62,Assumptions!B5-Assumptions!B4)</f>
        <v>1269240.68206771</v>
      </c>
    </row>
    <row r="10" customFormat="false" ht="15" hidden="false" customHeight="false" outlineLevel="0" collapsed="false">
      <c r="A10" s="4" t="s">
        <v>9</v>
      </c>
      <c r="B10" s="7" t="n">
        <f aca="false">Projection!H62</f>
        <v>604113.933858177</v>
      </c>
    </row>
    <row r="11" customFormat="false" ht="15" hidden="false" customHeight="false" outlineLevel="0" collapsed="false">
      <c r="A11" s="4" t="s">
        <v>10</v>
      </c>
      <c r="B11" s="5" t="str">
        <f aca="false">IF(COUNTIF(Projection!H6:H62,"&lt;0")=0,"Beyond "&amp;Assumptions!B6,Assumptions!B6-COUNTIF(Projection!H6:H62,"&lt;0")+1)</f>
        <v>Beyond 92</v>
      </c>
    </row>
    <row r="13" customFormat="false" ht="15" hidden="false" customHeight="false" outlineLevel="0" collapsed="false">
      <c r="A13" s="4" t="s">
        <v>11</v>
      </c>
      <c r="B13" s="5" t="str">
        <f aca="false">'Account Comparison'!B31</f>
        <v>401(k) with employer match</v>
      </c>
    </row>
    <row r="14" customFormat="false" ht="15" hidden="false" customHeight="false" outlineLevel="0" collapsed="false">
      <c r="A14" s="4" t="s">
        <v>12</v>
      </c>
      <c r="B14" s="7" t="n">
        <f aca="false">'Practice ROI'!D38</f>
        <v>80776.6846383398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7" min="4" style="0" width="15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15" hidden="false" customHeight="false" outlineLevel="0" collapsed="false">
      <c r="A3" s="3" t="s">
        <v>15</v>
      </c>
      <c r="B3" s="3" t="s">
        <v>3</v>
      </c>
      <c r="C3" s="3" t="s">
        <v>16</v>
      </c>
    </row>
    <row r="4" customFormat="false" ht="15" hidden="false" customHeight="false" outlineLevel="0" collapsed="false">
      <c r="A4" s="4" t="s">
        <v>17</v>
      </c>
      <c r="B4" s="8" t="n">
        <v>35</v>
      </c>
      <c r="C4" s="2" t="s">
        <v>18</v>
      </c>
    </row>
    <row r="5" customFormat="false" ht="15" hidden="false" customHeight="false" outlineLevel="0" collapsed="false">
      <c r="A5" s="4" t="s">
        <v>19</v>
      </c>
      <c r="B5" s="8" t="n">
        <v>65</v>
      </c>
      <c r="C5" s="2"/>
    </row>
    <row r="6" customFormat="false" ht="15" hidden="false" customHeight="false" outlineLevel="0" collapsed="false">
      <c r="A6" s="4" t="s">
        <v>20</v>
      </c>
      <c r="B6" s="8" t="n">
        <v>92</v>
      </c>
      <c r="C6" s="2" t="s">
        <v>21</v>
      </c>
    </row>
    <row r="7" customFormat="false" ht="15" hidden="false" customHeight="false" outlineLevel="0" collapsed="false">
      <c r="A7" s="4" t="s">
        <v>22</v>
      </c>
      <c r="B7" s="9" t="n">
        <v>50000</v>
      </c>
      <c r="C7" s="2"/>
    </row>
    <row r="8" customFormat="false" ht="15" hidden="false" customHeight="false" outlineLevel="0" collapsed="false">
      <c r="A8" s="4" t="s">
        <v>23</v>
      </c>
      <c r="B8" s="9" t="n">
        <v>12000</v>
      </c>
      <c r="C8" s="2" t="s">
        <v>24</v>
      </c>
    </row>
    <row r="9" customFormat="false" ht="15" hidden="false" customHeight="false" outlineLevel="0" collapsed="false">
      <c r="A9" s="4" t="s">
        <v>25</v>
      </c>
      <c r="B9" s="10" t="n">
        <v>0.03</v>
      </c>
      <c r="C9" s="2" t="s">
        <v>26</v>
      </c>
    </row>
    <row r="10" customFormat="false" ht="15" hidden="false" customHeight="false" outlineLevel="0" collapsed="false">
      <c r="A10" s="4" t="s">
        <v>27</v>
      </c>
      <c r="B10" s="10" t="n">
        <v>0.025</v>
      </c>
      <c r="C10" s="2" t="s">
        <v>28</v>
      </c>
    </row>
    <row r="11" customFormat="false" ht="15" hidden="false" customHeight="false" outlineLevel="0" collapsed="false">
      <c r="A11" s="4" t="s">
        <v>29</v>
      </c>
      <c r="B11" s="9" t="n">
        <v>50000</v>
      </c>
      <c r="C11" s="2"/>
    </row>
    <row r="12" customFormat="false" ht="15" hidden="false" customHeight="false" outlineLevel="0" collapsed="false">
      <c r="A12" s="4" t="s">
        <v>30</v>
      </c>
      <c r="B12" s="9" t="n">
        <v>24000</v>
      </c>
      <c r="C12" s="2" t="s">
        <v>31</v>
      </c>
    </row>
    <row r="13" customFormat="false" ht="15" hidden="false" customHeight="false" outlineLevel="0" collapsed="false">
      <c r="A13" s="4" t="s">
        <v>32</v>
      </c>
      <c r="B13" s="10" t="n">
        <v>0.01</v>
      </c>
      <c r="C13" s="2" t="s">
        <v>33</v>
      </c>
    </row>
    <row r="15" customFormat="false" ht="15" hidden="false" customHeight="false" outlineLevel="0" collapsed="false">
      <c r="A15" s="3" t="s">
        <v>34</v>
      </c>
      <c r="B15" s="3" t="s">
        <v>3</v>
      </c>
      <c r="C15" s="3" t="s">
        <v>16</v>
      </c>
    </row>
    <row r="16" customFormat="false" ht="15" hidden="false" customHeight="false" outlineLevel="0" collapsed="false">
      <c r="A16" s="4" t="s">
        <v>35</v>
      </c>
      <c r="B16" s="11" t="n">
        <v>2</v>
      </c>
      <c r="C16" s="2" t="s">
        <v>36</v>
      </c>
    </row>
    <row r="17" customFormat="false" ht="15" hidden="false" customHeight="false" outlineLevel="0" collapsed="false">
      <c r="A17" s="4" t="s">
        <v>37</v>
      </c>
      <c r="B17" s="12" t="n">
        <v>0.05</v>
      </c>
      <c r="C17" s="2" t="s">
        <v>38</v>
      </c>
    </row>
    <row r="18" customFormat="false" ht="15" hidden="false" customHeight="false" outlineLevel="0" collapsed="false">
      <c r="A18" s="4" t="s">
        <v>39</v>
      </c>
      <c r="B18" s="0" t="str">
        <f aca="false">INDEX($E$21:$G$21,1,$B$16)</f>
        <v>Balanced</v>
      </c>
    </row>
    <row r="20" customFormat="false" ht="15" hidden="false" customHeight="false" outlineLevel="0" collapsed="false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44</v>
      </c>
      <c r="F20" s="3" t="s">
        <v>45</v>
      </c>
      <c r="G20" s="3" t="s">
        <v>46</v>
      </c>
    </row>
    <row r="21" customFormat="false" ht="15" hidden="false" customHeight="false" outlineLevel="0" collapsed="false">
      <c r="A21" s="13" t="s">
        <v>47</v>
      </c>
      <c r="E21" s="13" t="s">
        <v>44</v>
      </c>
      <c r="F21" s="13" t="s">
        <v>45</v>
      </c>
      <c r="G21" s="13" t="s">
        <v>46</v>
      </c>
    </row>
    <row r="22" customFormat="false" ht="15" hidden="false" customHeight="false" outlineLevel="0" collapsed="false">
      <c r="A22" s="4" t="s">
        <v>48</v>
      </c>
      <c r="B22" s="4" t="s">
        <v>49</v>
      </c>
      <c r="C22" s="10" t="n">
        <v>0.07</v>
      </c>
      <c r="D22" s="10" t="n">
        <v>0.16</v>
      </c>
      <c r="E22" s="10" t="n">
        <v>0.3</v>
      </c>
      <c r="F22" s="10" t="n">
        <v>0.45</v>
      </c>
      <c r="G22" s="10" t="n">
        <v>0.6</v>
      </c>
    </row>
    <row r="23" customFormat="false" ht="15" hidden="false" customHeight="false" outlineLevel="0" collapsed="false">
      <c r="A23" s="4" t="s">
        <v>50</v>
      </c>
      <c r="B23" s="4" t="s">
        <v>51</v>
      </c>
      <c r="C23" s="10" t="n">
        <v>0.065</v>
      </c>
      <c r="D23" s="10" t="n">
        <v>0.18</v>
      </c>
      <c r="E23" s="10" t="n">
        <v>0.1</v>
      </c>
      <c r="F23" s="10" t="n">
        <v>0.15</v>
      </c>
      <c r="G23" s="10" t="n">
        <v>0.25</v>
      </c>
    </row>
    <row r="24" customFormat="false" ht="15" hidden="false" customHeight="false" outlineLevel="0" collapsed="false">
      <c r="A24" s="4" t="s">
        <v>52</v>
      </c>
      <c r="B24" s="4" t="s">
        <v>53</v>
      </c>
      <c r="C24" s="10" t="n">
        <v>0.04</v>
      </c>
      <c r="D24" s="10" t="n">
        <v>0.06</v>
      </c>
      <c r="E24" s="10" t="n">
        <v>0.6</v>
      </c>
      <c r="F24" s="10" t="n">
        <v>0.4</v>
      </c>
      <c r="G24" s="10" t="n">
        <v>0.15</v>
      </c>
    </row>
    <row r="25" customFormat="false" ht="15" hidden="false" customHeight="false" outlineLevel="0" collapsed="false">
      <c r="A25" s="4" t="s">
        <v>54</v>
      </c>
      <c r="B25" s="4" t="s">
        <v>55</v>
      </c>
      <c r="C25" s="10" t="n">
        <v>0.038</v>
      </c>
      <c r="D25" s="10" t="n">
        <v>0.055</v>
      </c>
      <c r="E25" s="10" t="n">
        <v>0</v>
      </c>
      <c r="F25" s="10" t="n">
        <v>0</v>
      </c>
      <c r="G25" s="10" t="n">
        <v>0</v>
      </c>
    </row>
    <row r="26" customFormat="false" ht="15" hidden="false" customHeight="false" outlineLevel="0" collapsed="false">
      <c r="A26" s="13" t="s">
        <v>56</v>
      </c>
      <c r="E26" s="14" t="n">
        <f aca="false">SUM(E22:E25)</f>
        <v>1</v>
      </c>
      <c r="F26" s="14" t="n">
        <f aca="false">SUM(F22:F25)</f>
        <v>1</v>
      </c>
      <c r="G26" s="14" t="n">
        <f aca="false">SUM(G22:G25)</f>
        <v>1</v>
      </c>
    </row>
    <row r="28" customFormat="false" ht="15" hidden="false" customHeight="false" outlineLevel="0" collapsed="false">
      <c r="A28" s="3" t="s">
        <v>57</v>
      </c>
      <c r="B28" s="3" t="s">
        <v>48</v>
      </c>
      <c r="C28" s="3" t="s">
        <v>58</v>
      </c>
      <c r="D28" s="3" t="s">
        <v>52</v>
      </c>
      <c r="E28" s="3" t="s">
        <v>59</v>
      </c>
    </row>
    <row r="29" customFormat="false" ht="15" hidden="false" customHeight="false" outlineLevel="0" collapsed="false">
      <c r="A29" s="13" t="s">
        <v>48</v>
      </c>
      <c r="B29" s="15" t="n">
        <v>1</v>
      </c>
      <c r="C29" s="15" t="n">
        <v>0.8</v>
      </c>
      <c r="D29" s="15" t="n">
        <v>0.1</v>
      </c>
      <c r="E29" s="15" t="n">
        <v>0.1</v>
      </c>
    </row>
    <row r="30" customFormat="false" ht="15" hidden="false" customHeight="false" outlineLevel="0" collapsed="false">
      <c r="A30" s="13" t="s">
        <v>58</v>
      </c>
      <c r="B30" s="15" t="n">
        <v>0.8</v>
      </c>
      <c r="C30" s="15" t="n">
        <v>1</v>
      </c>
      <c r="D30" s="15" t="n">
        <v>0.1</v>
      </c>
      <c r="E30" s="15" t="n">
        <v>0.1</v>
      </c>
    </row>
    <row r="31" customFormat="false" ht="15" hidden="false" customHeight="false" outlineLevel="0" collapsed="false">
      <c r="A31" s="13" t="s">
        <v>52</v>
      </c>
      <c r="B31" s="15" t="n">
        <v>0.1</v>
      </c>
      <c r="C31" s="15" t="n">
        <v>0.1</v>
      </c>
      <c r="D31" s="15" t="n">
        <v>1</v>
      </c>
      <c r="E31" s="15" t="n">
        <v>0.7</v>
      </c>
    </row>
    <row r="32" customFormat="false" ht="15" hidden="false" customHeight="false" outlineLevel="0" collapsed="false">
      <c r="A32" s="13" t="s">
        <v>59</v>
      </c>
      <c r="B32" s="15" t="n">
        <v>0.1</v>
      </c>
      <c r="C32" s="15" t="n">
        <v>0.1</v>
      </c>
      <c r="D32" s="15" t="n">
        <v>0.7</v>
      </c>
      <c r="E32" s="15" t="n">
        <v>1</v>
      </c>
    </row>
    <row r="34" customFormat="false" ht="15" hidden="false" customHeight="false" outlineLevel="0" collapsed="false">
      <c r="A34" s="3" t="s">
        <v>60</v>
      </c>
      <c r="B34" s="3" t="s">
        <v>48</v>
      </c>
      <c r="C34" s="3" t="s">
        <v>58</v>
      </c>
      <c r="D34" s="3" t="s">
        <v>52</v>
      </c>
      <c r="E34" s="3" t="s">
        <v>59</v>
      </c>
    </row>
    <row r="35" customFormat="false" ht="15" hidden="false" customHeight="false" outlineLevel="0" collapsed="false">
      <c r="A35" s="13" t="s">
        <v>48</v>
      </c>
      <c r="B35" s="16" t="n">
        <f aca="false">$D$22*$D$22*B29</f>
        <v>0.0256</v>
      </c>
      <c r="C35" s="16" t="n">
        <f aca="false">$D$22*$D$23*C29</f>
        <v>0.02304</v>
      </c>
      <c r="D35" s="16" t="n">
        <f aca="false">$D$22*$D$24*D29</f>
        <v>0.00096</v>
      </c>
      <c r="E35" s="16" t="n">
        <f aca="false">$D$22*$D$25*E29</f>
        <v>0.00088</v>
      </c>
    </row>
    <row r="36" customFormat="false" ht="15" hidden="false" customHeight="false" outlineLevel="0" collapsed="false">
      <c r="A36" s="13" t="s">
        <v>58</v>
      </c>
      <c r="B36" s="16" t="n">
        <f aca="false">$D$23*$D$22*B30</f>
        <v>0.02304</v>
      </c>
      <c r="C36" s="16" t="n">
        <f aca="false">$D$23*$D$23*C30</f>
        <v>0.0324</v>
      </c>
      <c r="D36" s="16" t="n">
        <f aca="false">$D$23*$D$24*D30</f>
        <v>0.00108</v>
      </c>
      <c r="E36" s="16" t="n">
        <f aca="false">$D$23*$D$25*E30</f>
        <v>0.00099</v>
      </c>
    </row>
    <row r="37" customFormat="false" ht="15" hidden="false" customHeight="false" outlineLevel="0" collapsed="false">
      <c r="A37" s="13" t="s">
        <v>52</v>
      </c>
      <c r="B37" s="16" t="n">
        <f aca="false">$D$24*$D$22*B31</f>
        <v>0.00096</v>
      </c>
      <c r="C37" s="16" t="n">
        <f aca="false">$D$24*$D$23*C31</f>
        <v>0.00108</v>
      </c>
      <c r="D37" s="16" t="n">
        <f aca="false">$D$24*$D$24*D31</f>
        <v>0.0036</v>
      </c>
      <c r="E37" s="16" t="n">
        <f aca="false">$D$24*$D$25*E31</f>
        <v>0.00231</v>
      </c>
    </row>
    <row r="38" customFormat="false" ht="15" hidden="false" customHeight="false" outlineLevel="0" collapsed="false">
      <c r="A38" s="13" t="s">
        <v>59</v>
      </c>
      <c r="B38" s="16" t="n">
        <f aca="false">$D$25*$D$22*B32</f>
        <v>0.00088</v>
      </c>
      <c r="C38" s="16" t="n">
        <f aca="false">$D$25*$D$23*C32</f>
        <v>0.00099</v>
      </c>
      <c r="D38" s="16" t="n">
        <f aca="false">$D$25*$D$24*D32</f>
        <v>0.00231</v>
      </c>
      <c r="E38" s="16" t="n">
        <f aca="false">$D$25*$D$25*E32</f>
        <v>0.003025</v>
      </c>
    </row>
    <row r="39" customFormat="false" ht="15" hidden="false" customHeight="false" outlineLevel="0" collapsed="false">
      <c r="A39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4"/>
    <col collapsed="false" customWidth="true" hidden="false" outlineLevel="0" max="17" min="17" style="0" width="34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52.2" hidden="false" customHeight="false" outlineLevel="0" collapsed="false">
      <c r="A4" s="3" t="s">
        <v>64</v>
      </c>
      <c r="B4" s="3" t="s">
        <v>65</v>
      </c>
      <c r="C4" s="3" t="s">
        <v>48</v>
      </c>
      <c r="D4" s="3" t="s">
        <v>58</v>
      </c>
      <c r="E4" s="3" t="s">
        <v>52</v>
      </c>
      <c r="F4" s="3" t="s">
        <v>59</v>
      </c>
      <c r="G4" s="3" t="s">
        <v>42</v>
      </c>
      <c r="H4" s="3" t="s">
        <v>43</v>
      </c>
      <c r="I4" s="3" t="s">
        <v>66</v>
      </c>
      <c r="J4" s="3" t="s">
        <v>8</v>
      </c>
      <c r="K4" s="3" t="s">
        <v>9</v>
      </c>
      <c r="L4" s="3" t="s">
        <v>67</v>
      </c>
      <c r="M4" s="3" t="s">
        <v>68</v>
      </c>
      <c r="N4" s="3" t="s">
        <v>69</v>
      </c>
      <c r="Q4" s="13" t="s">
        <v>70</v>
      </c>
    </row>
    <row r="5" customFormat="false" ht="15" hidden="false" customHeight="false" outlineLevel="0" collapsed="false">
      <c r="A5" s="17" t="str">
        <f aca="false">Assumptions!E21</f>
        <v>Conservative</v>
      </c>
      <c r="B5" s="10" t="n">
        <v>0</v>
      </c>
      <c r="C5" s="18" t="n">
        <f aca="false">Assumptions!E22*(1-$B5)</f>
        <v>0.3</v>
      </c>
      <c r="D5" s="18" t="n">
        <f aca="false">Assumptions!E23*(1-$B5)</f>
        <v>0.1</v>
      </c>
      <c r="E5" s="18" t="n">
        <f aca="false">Assumptions!E24*(1-$B5)</f>
        <v>0.6</v>
      </c>
      <c r="F5" s="19" t="n">
        <f aca="false">$B5</f>
        <v>0</v>
      </c>
      <c r="G5" s="18" t="n">
        <f aca="false">C5*Assumptions!$C$22+D5*Assumptions!$C$23+E5*Assumptions!$C$24+F5*Assumptions!$C$25</f>
        <v>0.0515</v>
      </c>
      <c r="H5" s="18" t="n">
        <f aca="false">SQRT(C5*SUMPRODUCT(C5:F5,Assumptions!$B$35:$E$35)+D5*SUMPRODUCT(C5:F5,Assumptions!$B$36:$E$36)+E5*SUMPRODUCT(C5:F5,Assumptions!$B$37:$E$37)+F5*SUMPRODUCT(C5:F5,Assumptions!$B$38:$E$38))</f>
        <v>0.0760368331797163</v>
      </c>
      <c r="I5" s="18" t="n">
        <f aca="false">G5-Assumptions!$B$13</f>
        <v>0.0415</v>
      </c>
      <c r="J5" s="20" t="n">
        <f aca="false">Assumptions!$B$7*(1+I5)^$R$5+IF(ABS(I5-Assumptions!$B$9)&lt;0.000001,Assumptions!$B$8*$R$5*(1+I5)^($R$5-1),Assumptions!$B$8*((1+I5)^$R$5-(1+Assumptions!$B$9)^$R$5)/(I5-Assumptions!$B$9))</f>
        <v>1170500.0011112</v>
      </c>
      <c r="K5" s="20" t="n">
        <f aca="false">J5*(1+I5)^$R$6-IF(ABS(I5-Assumptions!$B$10)&lt;0.000001,$R$7*$R$6*(1+I5)^($R$6-1),$R$7*((1+I5)^$R$6-(1+Assumptions!$B$10)^$R$6)/(I5-Assumptions!$B$10))</f>
        <v>38437.209358321</v>
      </c>
      <c r="L5" s="4" t="str">
        <f aca="false">IF(K5&gt;=0,"Yes","Shortfall")</f>
        <v>Yes</v>
      </c>
      <c r="M5" s="18" t="n">
        <f aca="false">I5-1.28*H5/SQRT($R$5)</f>
        <v>0.0237305754735839</v>
      </c>
      <c r="N5" s="20" t="n">
        <f aca="false">(Assumptions!$B$7*(1+M5)^$R$5+IF(ABS(M5-Assumptions!$B$9)&lt;0.000001,Assumptions!$B$8*$R$5*(1+M5)^($R$5-1),Assumptions!$B$8*((1+M5)^$R$5-(1+Assumptions!$B$9)^$R$5)/(M5-Assumptions!$B$9)))*(1+M5)^$R$6-IF(ABS(M5-Assumptions!$B$10)&lt;0.000001,$R$7*$R$6*(1+M5)^($R$6-1),$R$7*((1+M5)^$R$6-(1+Assumptions!$B$10)^$R$6)/(M5-Assumptions!$B$10))</f>
        <v>-1098509.47838456</v>
      </c>
      <c r="Q5" s="4" t="s">
        <v>71</v>
      </c>
      <c r="R5" s="17" t="n">
        <f aca="false">Assumptions!B5-Assumptions!B4</f>
        <v>30</v>
      </c>
    </row>
    <row r="6" customFormat="false" ht="15" hidden="false" customHeight="false" outlineLevel="0" collapsed="false">
      <c r="A6" s="17" t="str">
        <f aca="false">Assumptions!E21</f>
        <v>Conservative</v>
      </c>
      <c r="B6" s="10" t="n">
        <v>0.05</v>
      </c>
      <c r="C6" s="18" t="n">
        <f aca="false">Assumptions!E22*(1-$B6)</f>
        <v>0.285</v>
      </c>
      <c r="D6" s="18" t="n">
        <f aca="false">Assumptions!E23*(1-$B6)</f>
        <v>0.095</v>
      </c>
      <c r="E6" s="18" t="n">
        <f aca="false">Assumptions!E24*(1-$B6)</f>
        <v>0.57</v>
      </c>
      <c r="F6" s="19" t="n">
        <f aca="false">$B6</f>
        <v>0.05</v>
      </c>
      <c r="G6" s="18" t="n">
        <f aca="false">C6*Assumptions!$C$22+D6*Assumptions!$C$23+E6*Assumptions!$C$24+F6*Assumptions!$C$25</f>
        <v>0.050825</v>
      </c>
      <c r="H6" s="18" t="n">
        <f aca="false">SQRT(C6*SUMPRODUCT(C6:F6,Assumptions!$B$35:$E$35)+D6*SUMPRODUCT(C6:F6,Assumptions!$B$36:$E$36)+E6*SUMPRODUCT(C6:F6,Assumptions!$B$37:$E$37)+F6*SUMPRODUCT(C6:F6,Assumptions!$B$38:$E$38))</f>
        <v>0.0734275935871522</v>
      </c>
      <c r="I6" s="18" t="n">
        <f aca="false">G6-Assumptions!$B$13</f>
        <v>0.040825</v>
      </c>
      <c r="J6" s="20" t="n">
        <f aca="false">Assumptions!$B$7*(1+I6)^$R$5+IF(ABS(I6-Assumptions!$B$9)&lt;0.000001,Assumptions!$B$8*$R$5*(1+I6)^($R$5-1),Assumptions!$B$8*((1+I6)^$R$5-(1+Assumptions!$B$9)^$R$5)/(I6-Assumptions!$B$9))</f>
        <v>1157352.74924014</v>
      </c>
      <c r="K6" s="20" t="n">
        <f aca="false">J6*(1+I6)^$R$6-IF(ABS(I6-Assumptions!$B$10)&lt;0.000001,$R$7*$R$6*(1+I6)^($R$6-1),$R$7*((1+I6)^$R$6-(1+Assumptions!$B$10)^$R$6)/(I6-Assumptions!$B$10))</f>
        <v>-29941.4783030632</v>
      </c>
      <c r="L6" s="4" t="str">
        <f aca="false">IF(K6&gt;=0,"Yes","Shortfall")</f>
        <v>Shortfall</v>
      </c>
      <c r="M6" s="18" t="n">
        <f aca="false">I6-1.28*H6/SQRT($R$5)</f>
        <v>0.0236653416102379</v>
      </c>
      <c r="N6" s="20" t="n">
        <f aca="false">(Assumptions!$B$7*(1+M6)^$R$5+IF(ABS(M6-Assumptions!$B$9)&lt;0.000001,Assumptions!$B$8*$R$5*(1+M6)^($R$5-1),Assumptions!$B$8*((1+M6)^$R$5-(1+Assumptions!$B$9)^$R$5)/(M6-Assumptions!$B$9)))*(1+M6)^$R$6-IF(ABS(M6-Assumptions!$B$10)&lt;0.000001,$R$7*$R$6*(1+M6)^($R$6-1),$R$7*((1+M6)^$R$6-(1+Assumptions!$B$10)^$R$6)/(M6-Assumptions!$B$10))</f>
        <v>-1100758.60370974</v>
      </c>
      <c r="Q6" s="4" t="s">
        <v>72</v>
      </c>
      <c r="R6" s="17" t="n">
        <f aca="false">Assumptions!B6-Assumptions!B5</f>
        <v>27</v>
      </c>
    </row>
    <row r="7" customFormat="false" ht="15" hidden="false" customHeight="false" outlineLevel="0" collapsed="false">
      <c r="A7" s="17" t="str">
        <f aca="false">Assumptions!E21</f>
        <v>Conservative</v>
      </c>
      <c r="B7" s="10" t="n">
        <v>0.1</v>
      </c>
      <c r="C7" s="18" t="n">
        <f aca="false">Assumptions!E22*(1-$B7)</f>
        <v>0.27</v>
      </c>
      <c r="D7" s="18" t="n">
        <f aca="false">Assumptions!E23*(1-$B7)</f>
        <v>0.09</v>
      </c>
      <c r="E7" s="18" t="n">
        <f aca="false">Assumptions!E24*(1-$B7)</f>
        <v>0.54</v>
      </c>
      <c r="F7" s="19" t="n">
        <f aca="false">$B7</f>
        <v>0.1</v>
      </c>
      <c r="G7" s="18" t="n">
        <f aca="false">C7*Assumptions!$C$22+D7*Assumptions!$C$23+E7*Assumptions!$C$24+F7*Assumptions!$C$25</f>
        <v>0.05015</v>
      </c>
      <c r="H7" s="18" t="n">
        <f aca="false">SQRT(C7*SUMPRODUCT(C7:F7,Assumptions!$B$35:$E$35)+D7*SUMPRODUCT(C7:F7,Assumptions!$B$36:$E$36)+E7*SUMPRODUCT(C7:F7,Assumptions!$B$37:$E$37)+F7*SUMPRODUCT(C7:F7,Assumptions!$B$38:$E$38))</f>
        <v>0.0709095621196465</v>
      </c>
      <c r="I7" s="18" t="n">
        <f aca="false">G7-Assumptions!$B$13</f>
        <v>0.04015</v>
      </c>
      <c r="J7" s="20" t="n">
        <f aca="false">Assumptions!$B$7*(1+I7)^$R$5+IF(ABS(I7-Assumptions!$B$9)&lt;0.000001,Assumptions!$B$8*$R$5*(1+I7)^($R$5-1),Assumptions!$B$8*((1+I7)^$R$5-(1+Assumptions!$B$9)^$R$5)/(I7-Assumptions!$B$9))</f>
        <v>1144388.34368764</v>
      </c>
      <c r="K7" s="20" t="n">
        <f aca="false">J7*(1+I7)^$R$6-IF(ABS(I7-Assumptions!$B$10)&lt;0.000001,$R$7*$R$6*(1+I7)^($R$6-1),$R$7*((1+I7)^$R$6-(1+Assumptions!$B$10)^$R$6)/(I7-Assumptions!$B$10))</f>
        <v>-95775.3505141349</v>
      </c>
      <c r="L7" s="4" t="str">
        <f aca="false">IF(K7&gt;=0,"Yes","Shortfall")</f>
        <v>Shortfall</v>
      </c>
      <c r="M7" s="18" t="n">
        <f aca="false">I7-1.28*H7/SQRT($R$5)</f>
        <v>0.0235787928679491</v>
      </c>
      <c r="N7" s="20" t="n">
        <f aca="false">(Assumptions!$B$7*(1+M7)^$R$5+IF(ABS(M7-Assumptions!$B$9)&lt;0.000001,Assumptions!$B$8*$R$5*(1+M7)^($R$5-1),Assumptions!$B$8*((1+M7)^$R$5-(1+Assumptions!$B$9)^$R$5)/(M7-Assumptions!$B$9)))*(1+M7)^$R$6-IF(ABS(M7-Assumptions!$B$10)&lt;0.000001,$R$7*$R$6*(1+M7)^($R$6-1),$R$7*((1+M7)^$R$6-(1+Assumptions!$B$10)^$R$6)/(M7-Assumptions!$B$10))</f>
        <v>-1103726.80365842</v>
      </c>
      <c r="Q7" s="4" t="s">
        <v>73</v>
      </c>
      <c r="R7" s="21" t="n">
        <f aca="false">(Assumptions!B11-Assumptions!B12)*(1+Assumptions!B10)^R5</f>
        <v>54536.7570561264</v>
      </c>
    </row>
    <row r="8" customFormat="false" ht="15" hidden="false" customHeight="false" outlineLevel="0" collapsed="false">
      <c r="A8" s="17" t="str">
        <f aca="false">Assumptions!F21</f>
        <v>Balanced</v>
      </c>
      <c r="B8" s="10" t="n">
        <v>0</v>
      </c>
      <c r="C8" s="18" t="n">
        <f aca="false">Assumptions!F22*(1-$B8)</f>
        <v>0.45</v>
      </c>
      <c r="D8" s="18" t="n">
        <f aca="false">Assumptions!F23*(1-$B8)</f>
        <v>0.15</v>
      </c>
      <c r="E8" s="18" t="n">
        <f aca="false">Assumptions!F24*(1-$B8)</f>
        <v>0.4</v>
      </c>
      <c r="F8" s="19" t="n">
        <f aca="false">$B8</f>
        <v>0</v>
      </c>
      <c r="G8" s="18" t="n">
        <f aca="false">C8*Assumptions!$C$22+D8*Assumptions!$C$23+E8*Assumptions!$C$24+F8*Assumptions!$C$25</f>
        <v>0.05725</v>
      </c>
      <c r="H8" s="18" t="n">
        <f aca="false">SQRT(C8*SUMPRODUCT(C8:F8,Assumptions!$B$35:$E$35)+D8*SUMPRODUCT(C8:F8,Assumptions!$B$36:$E$36)+E8*SUMPRODUCT(C8:F8,Assumptions!$B$37:$E$37)+F8*SUMPRODUCT(C8:F8,Assumptions!$B$38:$E$38))</f>
        <v>0.100372306937721</v>
      </c>
      <c r="I8" s="18" t="n">
        <f aca="false">G8-Assumptions!$B$13</f>
        <v>0.04725</v>
      </c>
      <c r="J8" s="20" t="n">
        <f aca="false">Assumptions!$B$7*(1+I8)^$R$5+IF(ABS(I8-Assumptions!$B$9)&lt;0.000001,Assumptions!$B$8*$R$5*(1+I8)^($R$5-1),Assumptions!$B$8*((1+I8)^$R$5-(1+Assumptions!$B$9)^$R$5)/(I8-Assumptions!$B$9))</f>
        <v>1290310.83649959</v>
      </c>
      <c r="K8" s="20" t="n">
        <f aca="false">J8*(1+I8)^$R$6-IF(ABS(I8-Assumptions!$B$10)&lt;0.000001,$R$7*$R$6*(1+I8)^($R$6-1),$R$7*((1+I8)^$R$6-(1+Assumptions!$B$10)^$R$6)/(I8-Assumptions!$B$10))</f>
        <v>736760.423333417</v>
      </c>
      <c r="L8" s="4" t="str">
        <f aca="false">IF(K8&gt;=0,"Yes","Shortfall")</f>
        <v>Yes</v>
      </c>
      <c r="M8" s="18" t="n">
        <f aca="false">I8-1.28*H8/SQRT($R$5)</f>
        <v>0.023793497958988</v>
      </c>
      <c r="N8" s="20" t="n">
        <f aca="false">(Assumptions!$B$7*(1+M8)^$R$5+IF(ABS(M8-Assumptions!$B$9)&lt;0.000001,Assumptions!$B$8*$R$5*(1+M8)^($R$5-1),Assumptions!$B$8*((1+M8)^$R$5-(1+Assumptions!$B$9)^$R$5)/(M8-Assumptions!$B$9)))*(1+M8)^$R$6-IF(ABS(M8-Assumptions!$B$10)&lt;0.000001,$R$7*$R$6*(1+M8)^($R$6-1),$R$7*((1+M8)^$R$6-(1+Assumptions!$B$10)^$R$6)/(M8-Assumptions!$B$10))</f>
        <v>-1096330.30014993</v>
      </c>
    </row>
    <row r="9" customFormat="false" ht="15" hidden="false" customHeight="false" outlineLevel="0" collapsed="false">
      <c r="A9" s="17" t="str">
        <f aca="false">Assumptions!F21</f>
        <v>Balanced</v>
      </c>
      <c r="B9" s="10" t="n">
        <v>0.05</v>
      </c>
      <c r="C9" s="18" t="n">
        <f aca="false">Assumptions!F22*(1-$B9)</f>
        <v>0.4275</v>
      </c>
      <c r="D9" s="18" t="n">
        <f aca="false">Assumptions!F23*(1-$B9)</f>
        <v>0.1425</v>
      </c>
      <c r="E9" s="18" t="n">
        <f aca="false">Assumptions!F24*(1-$B9)</f>
        <v>0.38</v>
      </c>
      <c r="F9" s="19" t="n">
        <f aca="false">$B9</f>
        <v>0.05</v>
      </c>
      <c r="G9" s="18" t="n">
        <f aca="false">C9*Assumptions!$C$22+D9*Assumptions!$C$23+E9*Assumptions!$C$24+F9*Assumptions!$C$25</f>
        <v>0.0562875</v>
      </c>
      <c r="H9" s="18" t="n">
        <f aca="false">SQRT(C9*SUMPRODUCT(C9:F9,Assumptions!$B$35:$E$35)+D9*SUMPRODUCT(C9:F9,Assumptions!$B$36:$E$36)+E9*SUMPRODUCT(C9:F9,Assumptions!$B$37:$E$37)+F9*SUMPRODUCT(C9:F9,Assumptions!$B$38:$E$38))</f>
        <v>0.0961217795299276</v>
      </c>
      <c r="I9" s="18" t="n">
        <f aca="false">G9-Assumptions!$B$13</f>
        <v>0.0462875</v>
      </c>
      <c r="J9" s="20" t="n">
        <f aca="false">Assumptions!$B$7*(1+I9)^$R$5+IF(ABS(I9-Assumptions!$B$9)&lt;0.000001,Assumptions!$B$8*$R$5*(1+I9)^($R$5-1),Assumptions!$B$8*((1+I9)^$R$5-(1+Assumptions!$B$9)^$R$5)/(I9-Assumptions!$B$9))</f>
        <v>1269240.68206771</v>
      </c>
      <c r="K9" s="20" t="n">
        <f aca="false">J9*(1+I9)^$R$6-IF(ABS(I9-Assumptions!$B$10)&lt;0.000001,$R$7*$R$6*(1+I9)^($R$6-1),$R$7*((1+I9)^$R$6-(1+Assumptions!$B$10)^$R$6)/(I9-Assumptions!$B$10))</f>
        <v>604113.933858159</v>
      </c>
      <c r="L9" s="4" t="str">
        <f aca="false">IF(K9&gt;=0,"Yes","Shortfall")</f>
        <v>Yes</v>
      </c>
      <c r="M9" s="18" t="n">
        <f aca="false">I9-1.28*H9/SQRT($R$5)</f>
        <v>0.0238243247824727</v>
      </c>
      <c r="N9" s="20" t="n">
        <f aca="false">(Assumptions!$B$7*(1+M9)^$R$5+IF(ABS(M9-Assumptions!$B$9)&lt;0.000001,Assumptions!$B$8*$R$5*(1+M9)^($R$5-1),Assumptions!$B$8*((1+M9)^$R$5-(1+Assumptions!$B$9)^$R$5)/(M9-Assumptions!$B$9)))*(1+M9)^$R$6-IF(ABS(M9-Assumptions!$B$10)&lt;0.000001,$R$7*$R$6*(1+M9)^($R$6-1),$R$7*((1+M9)^$R$6-(1+Assumptions!$B$10)^$R$6)/(M9-Assumptions!$B$10))</f>
        <v>-1095259.18119452</v>
      </c>
    </row>
    <row r="10" customFormat="false" ht="15" hidden="false" customHeight="false" outlineLevel="0" collapsed="false">
      <c r="A10" s="17" t="str">
        <f aca="false">Assumptions!F21</f>
        <v>Balanced</v>
      </c>
      <c r="B10" s="10" t="n">
        <v>0.1</v>
      </c>
      <c r="C10" s="18" t="n">
        <f aca="false">Assumptions!F22*(1-$B10)</f>
        <v>0.405</v>
      </c>
      <c r="D10" s="18" t="n">
        <f aca="false">Assumptions!F23*(1-$B10)</f>
        <v>0.135</v>
      </c>
      <c r="E10" s="18" t="n">
        <f aca="false">Assumptions!F24*(1-$B10)</f>
        <v>0.36</v>
      </c>
      <c r="F10" s="19" t="n">
        <f aca="false">$B10</f>
        <v>0.1</v>
      </c>
      <c r="G10" s="18" t="n">
        <f aca="false">C10*Assumptions!$C$22+D10*Assumptions!$C$23+E10*Assumptions!$C$24+F10*Assumptions!$C$25</f>
        <v>0.055325</v>
      </c>
      <c r="H10" s="18" t="n">
        <f aca="false">SQRT(C10*SUMPRODUCT(C10:F10,Assumptions!$B$35:$E$35)+D10*SUMPRODUCT(C10:F10,Assumptions!$B$36:$E$36)+E10*SUMPRODUCT(C10:F10,Assumptions!$B$37:$E$37)+F10*SUMPRODUCT(C10:F10,Assumptions!$B$38:$E$38))</f>
        <v>0.0919511065730043</v>
      </c>
      <c r="I10" s="18" t="n">
        <f aca="false">G10-Assumptions!$B$13</f>
        <v>0.045325</v>
      </c>
      <c r="J10" s="20" t="n">
        <f aca="false">Assumptions!$B$7*(1+I10)^$R$5+IF(ABS(I10-Assumptions!$B$9)&lt;0.000001,Assumptions!$B$8*$R$5*(1+I10)^($R$5-1),Assumptions!$B$8*((1+I10)^$R$5-(1+Assumptions!$B$9)^$R$5)/(I10-Assumptions!$B$9))</f>
        <v>1248590.14496076</v>
      </c>
      <c r="K10" s="20" t="n">
        <f aca="false">J10*(1+I10)^$R$6-IF(ABS(I10-Assumptions!$B$10)&lt;0.000001,$R$7*$R$6*(1+I10)^($R$6-1),$R$7*((1+I10)^$R$6-(1+Assumptions!$B$10)^$R$6)/(I10-Assumptions!$B$10))</f>
        <v>478188.363705717</v>
      </c>
      <c r="L10" s="4" t="str">
        <f aca="false">IF(K10&gt;=0,"Yes","Shortfall")</f>
        <v>Yes</v>
      </c>
      <c r="M10" s="18" t="n">
        <f aca="false">I10-1.28*H10/SQRT($R$5)</f>
        <v>0.0238364900234257</v>
      </c>
      <c r="N10" s="20" t="n">
        <f aca="false">(Assumptions!$B$7*(1+M10)^$R$5+IF(ABS(M10-Assumptions!$B$9)&lt;0.000001,Assumptions!$B$8*$R$5*(1+M10)^($R$5-1),Assumptions!$B$8*((1+M10)^$R$5-(1+Assumptions!$B$9)^$R$5)/(M10-Assumptions!$B$9)))*(1+M10)^$R$6-IF(ABS(M10-Assumptions!$B$10)&lt;0.000001,$R$7*$R$6*(1+M10)^($R$6-1),$R$7*((1+M10)^$R$6-(1+Assumptions!$B$10)^$R$6)/(M10-Assumptions!$B$10))</f>
        <v>-1094835.8489288</v>
      </c>
    </row>
    <row r="11" customFormat="false" ht="15" hidden="false" customHeight="false" outlineLevel="0" collapsed="false">
      <c r="A11" s="17" t="str">
        <f aca="false">Assumptions!G21</f>
        <v>Growth</v>
      </c>
      <c r="B11" s="10" t="n">
        <v>0</v>
      </c>
      <c r="C11" s="18" t="n">
        <f aca="false">Assumptions!G22*(1-$B11)</f>
        <v>0.6</v>
      </c>
      <c r="D11" s="18" t="n">
        <f aca="false">Assumptions!G23*(1-$B11)</f>
        <v>0.25</v>
      </c>
      <c r="E11" s="18" t="n">
        <f aca="false">Assumptions!G24*(1-$B11)</f>
        <v>0.15</v>
      </c>
      <c r="F11" s="19" t="n">
        <f aca="false">$B11</f>
        <v>0</v>
      </c>
      <c r="G11" s="18" t="n">
        <f aca="false">C11*Assumptions!$C$22+D11*Assumptions!$C$23+E11*Assumptions!$C$24+F11*Assumptions!$C$25</f>
        <v>0.06425</v>
      </c>
      <c r="H11" s="18" t="n">
        <f aca="false">SQRT(C11*SUMPRODUCT(C11:F11,Assumptions!$B$35:$E$35)+D11*SUMPRODUCT(C11:F11,Assumptions!$B$36:$E$36)+E11*SUMPRODUCT(C11:F11,Assumptions!$B$37:$E$37)+F11*SUMPRODUCT(C11:F11,Assumptions!$B$38:$E$38))</f>
        <v>0.135969849599093</v>
      </c>
      <c r="I11" s="18" t="n">
        <f aca="false">G11-Assumptions!$B$13</f>
        <v>0.05425</v>
      </c>
      <c r="J11" s="20" t="n">
        <f aca="false">Assumptions!$B$7*(1+I11)^$R$5+IF(ABS(I11-Assumptions!$B$9)&lt;0.000001,Assumptions!$B$8*$R$5*(1+I11)^($R$5-1),Assumptions!$B$8*((1+I11)^$R$5-(1+Assumptions!$B$9)^$R$5)/(I11-Assumptions!$B$9))</f>
        <v>1457043.05563876</v>
      </c>
      <c r="K11" s="20" t="n">
        <f aca="false">J11*(1+I11)^$R$6-IF(ABS(I11-Assumptions!$B$10)&lt;0.000001,$R$7*$R$6*(1+I11)^($R$6-1),$R$7*((1+I11)^$R$6-(1+Assumptions!$B$10)^$R$6)/(I11-Assumptions!$B$10))</f>
        <v>1935142.34219837</v>
      </c>
      <c r="L11" s="4" t="str">
        <f aca="false">IF(K11&gt;=0,"Yes","Shortfall")</f>
        <v>Yes</v>
      </c>
      <c r="M11" s="18" t="n">
        <f aca="false">I11-1.28*H11/SQRT($R$5)</f>
        <v>0.0224745317265032</v>
      </c>
      <c r="N11" s="20" t="n">
        <f aca="false">(Assumptions!$B$7*(1+M11)^$R$5+IF(ABS(M11-Assumptions!$B$9)&lt;0.000001,Assumptions!$B$8*$R$5*(1+M11)^($R$5-1),Assumptions!$B$8*((1+M11)^$R$5-(1+Assumptions!$B$9)^$R$5)/(M11-Assumptions!$B$9)))*(1+M11)^$R$6-IF(ABS(M11-Assumptions!$B$10)&lt;0.000001,$R$7*$R$6*(1+M11)^($R$6-1),$R$7*((1+M11)^$R$6-(1+Assumptions!$B$10)^$R$6)/(M11-Assumptions!$B$10))</f>
        <v>-1140047.06806181</v>
      </c>
    </row>
    <row r="12" customFormat="false" ht="15" hidden="false" customHeight="false" outlineLevel="0" collapsed="false">
      <c r="A12" s="17" t="str">
        <f aca="false">Assumptions!G21</f>
        <v>Growth</v>
      </c>
      <c r="B12" s="10" t="n">
        <v>0.05</v>
      </c>
      <c r="C12" s="18" t="n">
        <f aca="false">Assumptions!G22*(1-$B12)</f>
        <v>0.57</v>
      </c>
      <c r="D12" s="18" t="n">
        <f aca="false">Assumptions!G23*(1-$B12)</f>
        <v>0.2375</v>
      </c>
      <c r="E12" s="18" t="n">
        <f aca="false">Assumptions!G24*(1-$B12)</f>
        <v>0.1425</v>
      </c>
      <c r="F12" s="19" t="n">
        <f aca="false">$B12</f>
        <v>0.05</v>
      </c>
      <c r="G12" s="18" t="n">
        <f aca="false">C12*Assumptions!$C$22+D12*Assumptions!$C$23+E12*Assumptions!$C$24+F12*Assumptions!$C$25</f>
        <v>0.0629375</v>
      </c>
      <c r="H12" s="18" t="n">
        <f aca="false">SQRT(C12*SUMPRODUCT(C12:F12,Assumptions!$B$35:$E$35)+D12*SUMPRODUCT(C12:F12,Assumptions!$B$36:$E$36)+E12*SUMPRODUCT(C12:F12,Assumptions!$B$37:$E$37)+F12*SUMPRODUCT(C12:F12,Assumptions!$B$38:$E$38))</f>
        <v>0.129612468536017</v>
      </c>
      <c r="I12" s="18" t="n">
        <f aca="false">G12-Assumptions!$B$13</f>
        <v>0.0529375</v>
      </c>
      <c r="J12" s="20" t="n">
        <f aca="false">Assumptions!$B$7*(1+I12)^$R$5+IF(ABS(I12-Assumptions!$B$9)&lt;0.000001,Assumptions!$B$8*$R$5*(1+I12)^($R$5-1),Assumptions!$B$8*((1+I12)^$R$5-(1+Assumptions!$B$9)^$R$5)/(I12-Assumptions!$B$9))</f>
        <v>1423882.6630229</v>
      </c>
      <c r="K12" s="20" t="n">
        <f aca="false">J12*(1+I12)^$R$6-IF(ABS(I12-Assumptions!$B$10)&lt;0.000001,$R$7*$R$6*(1+I12)^($R$6-1),$R$7*((1+I12)^$R$6-(1+Assumptions!$B$10)^$R$6)/(I12-Assumptions!$B$10))</f>
        <v>1675718.52838486</v>
      </c>
      <c r="L12" s="4" t="str">
        <f aca="false">IF(K12&gt;=0,"Yes","Shortfall")</f>
        <v>Yes</v>
      </c>
      <c r="M12" s="18" t="n">
        <f aca="false">I12-1.28*H12/SQRT($R$5)</f>
        <v>0.0226477196261951</v>
      </c>
      <c r="N12" s="20" t="n">
        <f aca="false">(Assumptions!$B$7*(1+M12)^$R$5+IF(ABS(M12-Assumptions!$B$9)&lt;0.000001,Assumptions!$B$8*$R$5*(1+M12)^($R$5-1),Assumptions!$B$8*((1+M12)^$R$5-(1+Assumptions!$B$9)^$R$5)/(M12-Assumptions!$B$9)))*(1+M12)^$R$6-IF(ABS(M12-Assumptions!$B$10)&lt;0.000001,$R$7*$R$6*(1+M12)^($R$6-1),$R$7*((1+M12)^$R$6-(1+Assumptions!$B$10)^$R$6)/(M12-Assumptions!$B$10))</f>
        <v>-1134537.66183452</v>
      </c>
    </row>
    <row r="13" customFormat="false" ht="15" hidden="false" customHeight="false" outlineLevel="0" collapsed="false">
      <c r="A13" s="17" t="str">
        <f aca="false">Assumptions!G21</f>
        <v>Growth</v>
      </c>
      <c r="B13" s="10" t="n">
        <v>0.1</v>
      </c>
      <c r="C13" s="18" t="n">
        <f aca="false">Assumptions!G22*(1-$B13)</f>
        <v>0.54</v>
      </c>
      <c r="D13" s="18" t="n">
        <f aca="false">Assumptions!G23*(1-$B13)</f>
        <v>0.225</v>
      </c>
      <c r="E13" s="18" t="n">
        <f aca="false">Assumptions!G24*(1-$B13)</f>
        <v>0.135</v>
      </c>
      <c r="F13" s="19" t="n">
        <f aca="false">$B13</f>
        <v>0.1</v>
      </c>
      <c r="G13" s="18" t="n">
        <f aca="false">C13*Assumptions!$C$22+D13*Assumptions!$C$23+E13*Assumptions!$C$24+F13*Assumptions!$C$25</f>
        <v>0.061625</v>
      </c>
      <c r="H13" s="18" t="n">
        <f aca="false">SQRT(C13*SUMPRODUCT(C13:F13,Assumptions!$B$35:$E$35)+D13*SUMPRODUCT(C13:F13,Assumptions!$B$36:$E$36)+E13*SUMPRODUCT(C13:F13,Assumptions!$B$37:$E$37)+F13*SUMPRODUCT(C13:F13,Assumptions!$B$38:$E$38))</f>
        <v>0.123317995442677</v>
      </c>
      <c r="I13" s="18" t="n">
        <f aca="false">G13-Assumptions!$B$13</f>
        <v>0.051625</v>
      </c>
      <c r="J13" s="20" t="n">
        <f aca="false">Assumptions!$B$7*(1+I13)^$R$5+IF(ABS(I13-Assumptions!$B$9)&lt;0.000001,Assumptions!$B$8*$R$5*(1+I13)^($R$5-1),Assumptions!$B$8*((1+I13)^$R$5-(1+Assumptions!$B$9)^$R$5)/(I13-Assumptions!$B$9))</f>
        <v>1391626.7116125</v>
      </c>
      <c r="K13" s="20" t="n">
        <f aca="false">J13*(1+I13)^$R$6-IF(ABS(I13-Assumptions!$B$10)&lt;0.000001,$R$7*$R$6*(1+I13)^($R$6-1),$R$7*((1+I13)^$R$6-(1+Assumptions!$B$10)^$R$6)/(I13-Assumptions!$B$10))</f>
        <v>1433429.20279179</v>
      </c>
      <c r="L13" s="4" t="str">
        <f aca="false">IF(K13&gt;=0,"Yes","Shortfall")</f>
        <v>Yes</v>
      </c>
      <c r="M13" s="18" t="n">
        <f aca="false">I13-1.28*H13/SQRT($R$5)</f>
        <v>0.0228062062505501</v>
      </c>
      <c r="N13" s="20" t="n">
        <f aca="false">(Assumptions!$B$7*(1+M13)^$R$5+IF(ABS(M13-Assumptions!$B$9)&lt;0.000001,Assumptions!$B$8*$R$5*(1+M13)^($R$5-1),Assumptions!$B$8*((1+M13)^$R$5-(1+Assumptions!$B$9)^$R$5)/(M13-Assumptions!$B$9)))*(1+M13)^$R$6-IF(ABS(M13-Assumptions!$B$10)&lt;0.000001,$R$7*$R$6*(1+M13)^($R$6-1),$R$7*((1+M13)^$R$6-(1+Assumptions!$B$10)^$R$6)/(M13-Assumptions!$B$10))</f>
        <v>-1129435.78302394</v>
      </c>
    </row>
    <row r="15" customFormat="false" ht="15" hidden="false" customHeight="false" outlineLevel="0" collapsed="false">
      <c r="A15" s="13" t="s">
        <v>74</v>
      </c>
      <c r="B15" s="22" t="n">
        <f aca="false">(Assumptions!B16-1)*3+MATCH(Assumptions!B17,B5:B7,0)</f>
        <v>5</v>
      </c>
      <c r="C15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0" t="s">
        <v>77</v>
      </c>
      <c r="B2" s="17" t="str">
        <f aca="false">Assumptions!B18</f>
        <v>Balanced</v>
      </c>
      <c r="D2" s="22" t="s">
        <v>78</v>
      </c>
      <c r="E2" s="23" t="n">
        <f aca="false">Assumptions!B17</f>
        <v>0.05</v>
      </c>
      <c r="G2" s="22" t="s">
        <v>79</v>
      </c>
      <c r="H2" s="19" t="n">
        <f aca="false">SUMPRODUCT(INDEX(Assumptions!$E$22:$G$24,0,Assumptions!$B$16),Assumptions!$C$22:$C$24)*(1-Assumptions!$B$17)+Assumptions!$B$17*Assumptions!$C$25-Assumptions!$B$13</f>
        <v>0.0462875</v>
      </c>
    </row>
    <row r="3" customFormat="false" ht="15" hidden="false" customHeight="false" outlineLevel="0" collapsed="false">
      <c r="G3" s="0" t="s">
        <v>80</v>
      </c>
      <c r="H3" s="21" t="n">
        <f aca="false">Scenarios!R7</f>
        <v>54536.7570561264</v>
      </c>
    </row>
    <row r="5" customFormat="false" ht="26.85" hidden="false" customHeight="false" outlineLevel="0" collapsed="false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customFormat="false" ht="15" hidden="false" customHeight="false" outlineLevel="0" collapsed="false">
      <c r="A6" s="4" t="n">
        <v>1</v>
      </c>
      <c r="B6" s="4" t="n">
        <f aca="false">Assumptions!$B$4+A6</f>
        <v>36</v>
      </c>
      <c r="C6" s="4" t="str">
        <f aca="false">IF(B6&lt;=Assumptions!$B$5,"Accumulation","Retirement")</f>
        <v>Accumulation</v>
      </c>
      <c r="D6" s="21" t="n">
        <f aca="false">Assumptions!B7</f>
        <v>50000</v>
      </c>
      <c r="E6" s="20" t="n">
        <f aca="false">IF(B6&lt;=Assumptions!$B$5,Assumptions!$B$8*(1+Assumptions!$B$9)^(A6-1),0)</f>
        <v>12000</v>
      </c>
      <c r="F6" s="20" t="n">
        <f aca="false">IF(B6&gt;Assumptions!$B$5,$H$3*(1+Assumptions!$B$10)^(B6-Assumptions!$B$5-1),0)</f>
        <v>0</v>
      </c>
      <c r="G6" s="20" t="n">
        <f aca="false">D6*$H$2</f>
        <v>2314.375</v>
      </c>
      <c r="H6" s="20" t="n">
        <f aca="false">D6+G6+E6-F6</f>
        <v>64314.375</v>
      </c>
    </row>
    <row r="7" customFormat="false" ht="15" hidden="false" customHeight="false" outlineLevel="0" collapsed="false">
      <c r="A7" s="4" t="n">
        <f aca="false">A6+1</f>
        <v>2</v>
      </c>
      <c r="B7" s="4" t="n">
        <f aca="false">Assumptions!$B$4+A7</f>
        <v>37</v>
      </c>
      <c r="C7" s="4" t="str">
        <f aca="false">IF(B7&lt;=Assumptions!$B$5,"Accumulation","Retirement")</f>
        <v>Accumulation</v>
      </c>
      <c r="D7" s="20" t="n">
        <f aca="false">H6</f>
        <v>64314.375</v>
      </c>
      <c r="E7" s="20" t="n">
        <f aca="false">IF(B7&lt;=Assumptions!$B$5,Assumptions!$B$8*(1+Assumptions!$B$9)^(A7-1),0)</f>
        <v>12360</v>
      </c>
      <c r="F7" s="20" t="n">
        <f aca="false">IF(B7&gt;Assumptions!$B$5,$H$3*(1+Assumptions!$B$10)^(B7-Assumptions!$B$5-1),0)</f>
        <v>0</v>
      </c>
      <c r="G7" s="20" t="n">
        <f aca="false">D7*$H$2</f>
        <v>2976.9516328125</v>
      </c>
      <c r="H7" s="20" t="n">
        <f aca="false">D7+G7+E7-F7</f>
        <v>79651.3266328125</v>
      </c>
    </row>
    <row r="8" customFormat="false" ht="15" hidden="false" customHeight="false" outlineLevel="0" collapsed="false">
      <c r="A8" s="4" t="n">
        <f aca="false">A7+1</f>
        <v>3</v>
      </c>
      <c r="B8" s="4" t="n">
        <f aca="false">Assumptions!$B$4+A8</f>
        <v>38</v>
      </c>
      <c r="C8" s="4" t="str">
        <f aca="false">IF(B8&lt;=Assumptions!$B$5,"Accumulation","Retirement")</f>
        <v>Accumulation</v>
      </c>
      <c r="D8" s="20" t="n">
        <f aca="false">H7</f>
        <v>79651.3266328125</v>
      </c>
      <c r="E8" s="20" t="n">
        <f aca="false">IF(B8&lt;=Assumptions!$B$5,Assumptions!$B$8*(1+Assumptions!$B$9)^(A8-1),0)</f>
        <v>12730.8</v>
      </c>
      <c r="F8" s="20" t="n">
        <f aca="false">IF(B8&gt;Assumptions!$B$5,$H$3*(1+Assumptions!$B$10)^(B8-Assumptions!$B$5-1),0)</f>
        <v>0</v>
      </c>
      <c r="G8" s="20" t="n">
        <f aca="false">D8*$H$2</f>
        <v>3686.86078151631</v>
      </c>
      <c r="H8" s="20" t="n">
        <f aca="false">D8+G8+E8-F8</f>
        <v>96068.9874143288</v>
      </c>
    </row>
    <row r="9" customFormat="false" ht="15" hidden="false" customHeight="false" outlineLevel="0" collapsed="false">
      <c r="A9" s="4" t="n">
        <f aca="false">A8+1</f>
        <v>4</v>
      </c>
      <c r="B9" s="4" t="n">
        <f aca="false">Assumptions!$B$4+A9</f>
        <v>39</v>
      </c>
      <c r="C9" s="4" t="str">
        <f aca="false">IF(B9&lt;=Assumptions!$B$5,"Accumulation","Retirement")</f>
        <v>Accumulation</v>
      </c>
      <c r="D9" s="20" t="n">
        <f aca="false">H8</f>
        <v>96068.9874143288</v>
      </c>
      <c r="E9" s="20" t="n">
        <f aca="false">IF(B9&lt;=Assumptions!$B$5,Assumptions!$B$8*(1+Assumptions!$B$9)^(A9-1),0)</f>
        <v>13112.724</v>
      </c>
      <c r="F9" s="20" t="n">
        <f aca="false">IF(B9&gt;Assumptions!$B$5,$H$3*(1+Assumptions!$B$10)^(B9-Assumptions!$B$5-1),0)</f>
        <v>0</v>
      </c>
      <c r="G9" s="20" t="n">
        <f aca="false">D9*$H$2</f>
        <v>4446.79325494075</v>
      </c>
      <c r="H9" s="20" t="n">
        <f aca="false">D9+G9+E9-F9</f>
        <v>113628.50466927</v>
      </c>
    </row>
    <row r="10" customFormat="false" ht="15" hidden="false" customHeight="false" outlineLevel="0" collapsed="false">
      <c r="A10" s="4" t="n">
        <f aca="false">A9+1</f>
        <v>5</v>
      </c>
      <c r="B10" s="4" t="n">
        <f aca="false">Assumptions!$B$4+A10</f>
        <v>40</v>
      </c>
      <c r="C10" s="4" t="str">
        <f aca="false">IF(B10&lt;=Assumptions!$B$5,"Accumulation","Retirement")</f>
        <v>Accumulation</v>
      </c>
      <c r="D10" s="20" t="n">
        <f aca="false">H9</f>
        <v>113628.50466927</v>
      </c>
      <c r="E10" s="20" t="n">
        <f aca="false">IF(B10&lt;=Assumptions!$B$5,Assumptions!$B$8*(1+Assumptions!$B$9)^(A10-1),0)</f>
        <v>13506.10572</v>
      </c>
      <c r="F10" s="20" t="n">
        <f aca="false">IF(B10&gt;Assumptions!$B$5,$H$3*(1+Assumptions!$B$10)^(B10-Assumptions!$B$5-1),0)</f>
        <v>0</v>
      </c>
      <c r="G10" s="20" t="n">
        <f aca="false">D10*$H$2</f>
        <v>5259.57940987882</v>
      </c>
      <c r="H10" s="20" t="n">
        <f aca="false">D10+G10+E10-F10</f>
        <v>132394.189799148</v>
      </c>
    </row>
    <row r="11" customFormat="false" ht="15" hidden="false" customHeight="false" outlineLevel="0" collapsed="false">
      <c r="A11" s="4" t="n">
        <f aca="false">A10+1</f>
        <v>6</v>
      </c>
      <c r="B11" s="4" t="n">
        <f aca="false">Assumptions!$B$4+A11</f>
        <v>41</v>
      </c>
      <c r="C11" s="4" t="str">
        <f aca="false">IF(B11&lt;=Assumptions!$B$5,"Accumulation","Retirement")</f>
        <v>Accumulation</v>
      </c>
      <c r="D11" s="20" t="n">
        <f aca="false">H10</f>
        <v>132394.189799148</v>
      </c>
      <c r="E11" s="20" t="n">
        <f aca="false">IF(B11&lt;=Assumptions!$B$5,Assumptions!$B$8*(1+Assumptions!$B$9)^(A11-1),0)</f>
        <v>13911.2888916</v>
      </c>
      <c r="F11" s="20" t="n">
        <f aca="false">IF(B11&gt;Assumptions!$B$5,$H$3*(1+Assumptions!$B$10)^(B11-Assumptions!$B$5-1),0)</f>
        <v>0</v>
      </c>
      <c r="G11" s="20" t="n">
        <f aca="false">D11*$H$2</f>
        <v>6128.19606032808</v>
      </c>
      <c r="H11" s="20" t="n">
        <f aca="false">D11+G11+E11-F11</f>
        <v>152433.674751076</v>
      </c>
    </row>
    <row r="12" customFormat="false" ht="15" hidden="false" customHeight="false" outlineLevel="0" collapsed="false">
      <c r="A12" s="4" t="n">
        <f aca="false">A11+1</f>
        <v>7</v>
      </c>
      <c r="B12" s="4" t="n">
        <f aca="false">Assumptions!$B$4+A12</f>
        <v>42</v>
      </c>
      <c r="C12" s="4" t="str">
        <f aca="false">IF(B12&lt;=Assumptions!$B$5,"Accumulation","Retirement")</f>
        <v>Accumulation</v>
      </c>
      <c r="D12" s="20" t="n">
        <f aca="false">H11</f>
        <v>152433.674751076</v>
      </c>
      <c r="E12" s="20" t="n">
        <f aca="false">IF(B12&lt;=Assumptions!$B$5,Assumptions!$B$8*(1+Assumptions!$B$9)^(A12-1),0)</f>
        <v>14328.627558348</v>
      </c>
      <c r="F12" s="20" t="n">
        <f aca="false">IF(B12&gt;Assumptions!$B$5,$H$3*(1+Assumptions!$B$10)^(B12-Assumptions!$B$5-1),0)</f>
        <v>0</v>
      </c>
      <c r="G12" s="20" t="n">
        <f aca="false">D12*$H$2</f>
        <v>7055.77372004045</v>
      </c>
      <c r="H12" s="20" t="n">
        <f aca="false">D12+G12+E12-F12</f>
        <v>173818.076029465</v>
      </c>
    </row>
    <row r="13" customFormat="false" ht="15" hidden="false" customHeight="false" outlineLevel="0" collapsed="false">
      <c r="A13" s="4" t="n">
        <f aca="false">A12+1</f>
        <v>8</v>
      </c>
      <c r="B13" s="4" t="n">
        <f aca="false">Assumptions!$B$4+A13</f>
        <v>43</v>
      </c>
      <c r="C13" s="4" t="str">
        <f aca="false">IF(B13&lt;=Assumptions!$B$5,"Accumulation","Retirement")</f>
        <v>Accumulation</v>
      </c>
      <c r="D13" s="20" t="n">
        <f aca="false">H12</f>
        <v>173818.076029465</v>
      </c>
      <c r="E13" s="20" t="n">
        <f aca="false">IF(B13&lt;=Assumptions!$B$5,Assumptions!$B$8*(1+Assumptions!$B$9)^(A13-1),0)</f>
        <v>14758.4863850984</v>
      </c>
      <c r="F13" s="20" t="n">
        <f aca="false">IF(B13&gt;Assumptions!$B$5,$H$3*(1+Assumptions!$B$10)^(B13-Assumptions!$B$5-1),0)</f>
        <v>0</v>
      </c>
      <c r="G13" s="20" t="n">
        <f aca="false">D13*$H$2</f>
        <v>8045.60419421386</v>
      </c>
      <c r="H13" s="20" t="n">
        <f aca="false">D13+G13+E13-F13</f>
        <v>196622.166608777</v>
      </c>
    </row>
    <row r="14" customFormat="false" ht="15" hidden="false" customHeight="false" outlineLevel="0" collapsed="false">
      <c r="A14" s="4" t="n">
        <f aca="false">A13+1</f>
        <v>9</v>
      </c>
      <c r="B14" s="4" t="n">
        <f aca="false">Assumptions!$B$4+A14</f>
        <v>44</v>
      </c>
      <c r="C14" s="4" t="str">
        <f aca="false">IF(B14&lt;=Assumptions!$B$5,"Accumulation","Retirement")</f>
        <v>Accumulation</v>
      </c>
      <c r="D14" s="20" t="n">
        <f aca="false">H13</f>
        <v>196622.166608777</v>
      </c>
      <c r="E14" s="20" t="n">
        <f aca="false">IF(B14&lt;=Assumptions!$B$5,Assumptions!$B$8*(1+Assumptions!$B$9)^(A14-1),0)</f>
        <v>15201.2409766514</v>
      </c>
      <c r="F14" s="20" t="n">
        <f aca="false">IF(B14&gt;Assumptions!$B$5,$H$3*(1+Assumptions!$B$10)^(B14-Assumptions!$B$5-1),0)</f>
        <v>0</v>
      </c>
      <c r="G14" s="20" t="n">
        <f aca="false">D14*$H$2</f>
        <v>9101.14853690378</v>
      </c>
      <c r="H14" s="20" t="n">
        <f aca="false">D14+G14+E14-F14</f>
        <v>220924.556122332</v>
      </c>
    </row>
    <row r="15" customFormat="false" ht="15" hidden="false" customHeight="false" outlineLevel="0" collapsed="false">
      <c r="A15" s="4" t="n">
        <f aca="false">A14+1</f>
        <v>10</v>
      </c>
      <c r="B15" s="4" t="n">
        <f aca="false">Assumptions!$B$4+A15</f>
        <v>45</v>
      </c>
      <c r="C15" s="4" t="str">
        <f aca="false">IF(B15&lt;=Assumptions!$B$5,"Accumulation","Retirement")</f>
        <v>Accumulation</v>
      </c>
      <c r="D15" s="20" t="n">
        <f aca="false">H14</f>
        <v>220924.556122332</v>
      </c>
      <c r="E15" s="20" t="n">
        <f aca="false">IF(B15&lt;=Assumptions!$B$5,Assumptions!$B$8*(1+Assumptions!$B$9)^(A15-1),0)</f>
        <v>15657.2782059509</v>
      </c>
      <c r="F15" s="20" t="n">
        <f aca="false">IF(B15&gt;Assumptions!$B$5,$H$3*(1+Assumptions!$B$10)^(B15-Assumptions!$B$5-1),0)</f>
        <v>0</v>
      </c>
      <c r="G15" s="20" t="n">
        <f aca="false">D15*$H$2</f>
        <v>10226.0453915125</v>
      </c>
      <c r="H15" s="20" t="n">
        <f aca="false">D15+G15+E15-F15</f>
        <v>246807.879719796</v>
      </c>
    </row>
    <row r="16" customFormat="false" ht="15" hidden="false" customHeight="false" outlineLevel="0" collapsed="false">
      <c r="A16" s="4" t="n">
        <f aca="false">A15+1</f>
        <v>11</v>
      </c>
      <c r="B16" s="4" t="n">
        <f aca="false">Assumptions!$B$4+A16</f>
        <v>46</v>
      </c>
      <c r="C16" s="4" t="str">
        <f aca="false">IF(B16&lt;=Assumptions!$B$5,"Accumulation","Retirement")</f>
        <v>Accumulation</v>
      </c>
      <c r="D16" s="20" t="n">
        <f aca="false">H15</f>
        <v>246807.879719796</v>
      </c>
      <c r="E16" s="20" t="n">
        <f aca="false">IF(B16&lt;=Assumptions!$B$5,Assumptions!$B$8*(1+Assumptions!$B$9)^(A16-1),0)</f>
        <v>16126.9965521295</v>
      </c>
      <c r="F16" s="20" t="n">
        <f aca="false">IF(B16&gt;Assumptions!$B$5,$H$3*(1+Assumptions!$B$10)^(B16-Assumptions!$B$5-1),0)</f>
        <v>0</v>
      </c>
      <c r="G16" s="20" t="n">
        <f aca="false">D16*$H$2</f>
        <v>11424.1197325301</v>
      </c>
      <c r="H16" s="20" t="n">
        <f aca="false">D16+G16+E16-F16</f>
        <v>274358.996004455</v>
      </c>
    </row>
    <row r="17" customFormat="false" ht="15" hidden="false" customHeight="false" outlineLevel="0" collapsed="false">
      <c r="A17" s="4" t="n">
        <f aca="false">A16+1</f>
        <v>12</v>
      </c>
      <c r="B17" s="4" t="n">
        <f aca="false">Assumptions!$B$4+A17</f>
        <v>47</v>
      </c>
      <c r="C17" s="4" t="str">
        <f aca="false">IF(B17&lt;=Assumptions!$B$5,"Accumulation","Retirement")</f>
        <v>Accumulation</v>
      </c>
      <c r="D17" s="20" t="n">
        <f aca="false">H16</f>
        <v>274358.996004455</v>
      </c>
      <c r="E17" s="20" t="n">
        <f aca="false">IF(B17&lt;=Assumptions!$B$5,Assumptions!$B$8*(1+Assumptions!$B$9)^(A17-1),0)</f>
        <v>16610.8064486934</v>
      </c>
      <c r="F17" s="20" t="n">
        <f aca="false">IF(B17&gt;Assumptions!$B$5,$H$3*(1+Assumptions!$B$10)^(B17-Assumptions!$B$5-1),0)</f>
        <v>0</v>
      </c>
      <c r="G17" s="20" t="n">
        <f aca="false">D17*$H$2</f>
        <v>12699.3920275562</v>
      </c>
      <c r="H17" s="20" t="n">
        <f aca="false">D17+G17+E17-F17</f>
        <v>303669.194480705</v>
      </c>
    </row>
    <row r="18" customFormat="false" ht="15" hidden="false" customHeight="false" outlineLevel="0" collapsed="false">
      <c r="A18" s="4" t="n">
        <f aca="false">A17+1</f>
        <v>13</v>
      </c>
      <c r="B18" s="4" t="n">
        <f aca="false">Assumptions!$B$4+A18</f>
        <v>48</v>
      </c>
      <c r="C18" s="4" t="str">
        <f aca="false">IF(B18&lt;=Assumptions!$B$5,"Accumulation","Retirement")</f>
        <v>Accumulation</v>
      </c>
      <c r="D18" s="20" t="n">
        <f aca="false">H17</f>
        <v>303669.194480705</v>
      </c>
      <c r="E18" s="20" t="n">
        <f aca="false">IF(B18&lt;=Assumptions!$B$5,Assumptions!$B$8*(1+Assumptions!$B$9)^(A18-1),0)</f>
        <v>17109.1306421542</v>
      </c>
      <c r="F18" s="20" t="n">
        <f aca="false">IF(B18&gt;Assumptions!$B$5,$H$3*(1+Assumptions!$B$10)^(B18-Assumptions!$B$5-1),0)</f>
        <v>0</v>
      </c>
      <c r="G18" s="20" t="n">
        <f aca="false">D18*$H$2</f>
        <v>14056.0878395256</v>
      </c>
      <c r="H18" s="20" t="n">
        <f aca="false">D18+G18+E18-F18</f>
        <v>334834.412962385</v>
      </c>
    </row>
    <row r="19" customFormat="false" ht="15" hidden="false" customHeight="false" outlineLevel="0" collapsed="false">
      <c r="A19" s="4" t="n">
        <f aca="false">A18+1</f>
        <v>14</v>
      </c>
      <c r="B19" s="4" t="n">
        <f aca="false">Assumptions!$B$4+A19</f>
        <v>49</v>
      </c>
      <c r="C19" s="4" t="str">
        <f aca="false">IF(B19&lt;=Assumptions!$B$5,"Accumulation","Retirement")</f>
        <v>Accumulation</v>
      </c>
      <c r="D19" s="20" t="n">
        <f aca="false">H18</f>
        <v>334834.412962385</v>
      </c>
      <c r="E19" s="20" t="n">
        <f aca="false">IF(B19&lt;=Assumptions!$B$5,Assumptions!$B$8*(1+Assumptions!$B$9)^(A19-1),0)</f>
        <v>17622.4045614188</v>
      </c>
      <c r="F19" s="20" t="n">
        <f aca="false">IF(B19&gt;Assumptions!$B$5,$H$3*(1+Assumptions!$B$10)^(B19-Assumptions!$B$5-1),0)</f>
        <v>0</v>
      </c>
      <c r="G19" s="20" t="n">
        <f aca="false">D19*$H$2</f>
        <v>15498.6478899964</v>
      </c>
      <c r="H19" s="20" t="n">
        <f aca="false">D19+G19+E19-F19</f>
        <v>367955.4654138</v>
      </c>
    </row>
    <row r="20" customFormat="false" ht="15" hidden="false" customHeight="false" outlineLevel="0" collapsed="false">
      <c r="A20" s="4" t="n">
        <f aca="false">A19+1</f>
        <v>15</v>
      </c>
      <c r="B20" s="4" t="n">
        <f aca="false">Assumptions!$B$4+A20</f>
        <v>50</v>
      </c>
      <c r="C20" s="4" t="str">
        <f aca="false">IF(B20&lt;=Assumptions!$B$5,"Accumulation","Retirement")</f>
        <v>Accumulation</v>
      </c>
      <c r="D20" s="20" t="n">
        <f aca="false">H19</f>
        <v>367955.4654138</v>
      </c>
      <c r="E20" s="20" t="n">
        <f aca="false">IF(B20&lt;=Assumptions!$B$5,Assumptions!$B$8*(1+Assumptions!$B$9)^(A20-1),0)</f>
        <v>18151.0766982613</v>
      </c>
      <c r="F20" s="20" t="n">
        <f aca="false">IF(B20&gt;Assumptions!$B$5,$H$3*(1+Assumptions!$B$10)^(B20-Assumptions!$B$5-1),0)</f>
        <v>0</v>
      </c>
      <c r="G20" s="20" t="n">
        <f aca="false">D20*$H$2</f>
        <v>17031.7386053413</v>
      </c>
      <c r="H20" s="20" t="n">
        <f aca="false">D20+G20+E20-F20</f>
        <v>403138.280717403</v>
      </c>
    </row>
    <row r="21" customFormat="false" ht="15" hidden="false" customHeight="false" outlineLevel="0" collapsed="false">
      <c r="A21" s="4" t="n">
        <f aca="false">A20+1</f>
        <v>16</v>
      </c>
      <c r="B21" s="4" t="n">
        <f aca="false">Assumptions!$B$4+A21</f>
        <v>51</v>
      </c>
      <c r="C21" s="4" t="str">
        <f aca="false">IF(B21&lt;=Assumptions!$B$5,"Accumulation","Retirement")</f>
        <v>Accumulation</v>
      </c>
      <c r="D21" s="20" t="n">
        <f aca="false">H20</f>
        <v>403138.280717403</v>
      </c>
      <c r="E21" s="20" t="n">
        <f aca="false">IF(B21&lt;=Assumptions!$B$5,Assumptions!$B$8*(1+Assumptions!$B$9)^(A21-1),0)</f>
        <v>18695.6089992092</v>
      </c>
      <c r="F21" s="20" t="n">
        <f aca="false">IF(B21&gt;Assumptions!$B$5,$H$3*(1+Assumptions!$B$10)^(B21-Assumptions!$B$5-1),0)</f>
        <v>0</v>
      </c>
      <c r="G21" s="20" t="n">
        <f aca="false">D21*$H$2</f>
        <v>18660.2631687068</v>
      </c>
      <c r="H21" s="20" t="n">
        <f aca="false">D21+G21+E21-F21</f>
        <v>440494.152885319</v>
      </c>
    </row>
    <row r="22" customFormat="false" ht="15" hidden="false" customHeight="false" outlineLevel="0" collapsed="false">
      <c r="A22" s="4" t="n">
        <f aca="false">A21+1</f>
        <v>17</v>
      </c>
      <c r="B22" s="4" t="n">
        <f aca="false">Assumptions!$B$4+A22</f>
        <v>52</v>
      </c>
      <c r="C22" s="4" t="str">
        <f aca="false">IF(B22&lt;=Assumptions!$B$5,"Accumulation","Retirement")</f>
        <v>Accumulation</v>
      </c>
      <c r="D22" s="20" t="n">
        <f aca="false">H21</f>
        <v>440494.152885319</v>
      </c>
      <c r="E22" s="20" t="n">
        <f aca="false">IF(B22&lt;=Assumptions!$B$5,Assumptions!$B$8*(1+Assumptions!$B$9)^(A22-1),0)</f>
        <v>19256.4772691855</v>
      </c>
      <c r="F22" s="20" t="n">
        <f aca="false">IF(B22&gt;Assumptions!$B$5,$H$3*(1+Assumptions!$B$10)^(B22-Assumptions!$B$5-1),0)</f>
        <v>0</v>
      </c>
      <c r="G22" s="20" t="n">
        <f aca="false">D22*$H$2</f>
        <v>20389.3731016792</v>
      </c>
      <c r="H22" s="20" t="n">
        <f aca="false">D22+G22+E22-F22</f>
        <v>480140.003256183</v>
      </c>
    </row>
    <row r="23" customFormat="false" ht="15" hidden="false" customHeight="false" outlineLevel="0" collapsed="false">
      <c r="A23" s="4" t="n">
        <f aca="false">A22+1</f>
        <v>18</v>
      </c>
      <c r="B23" s="4" t="n">
        <f aca="false">Assumptions!$B$4+A23</f>
        <v>53</v>
      </c>
      <c r="C23" s="4" t="str">
        <f aca="false">IF(B23&lt;=Assumptions!$B$5,"Accumulation","Retirement")</f>
        <v>Accumulation</v>
      </c>
      <c r="D23" s="20" t="n">
        <f aca="false">H22</f>
        <v>480140.003256183</v>
      </c>
      <c r="E23" s="20" t="n">
        <f aca="false">IF(B23&lt;=Assumptions!$B$5,Assumptions!$B$8*(1+Assumptions!$B$9)^(A23-1),0)</f>
        <v>19834.171587261</v>
      </c>
      <c r="F23" s="20" t="n">
        <f aca="false">IF(B23&gt;Assumptions!$B$5,$H$3*(1+Assumptions!$B$10)^(B23-Assumptions!$B$5-1),0)</f>
        <v>0</v>
      </c>
      <c r="G23" s="20" t="n">
        <f aca="false">D23*$H$2</f>
        <v>22224.4804007206</v>
      </c>
      <c r="H23" s="20" t="n">
        <f aca="false">D23+G23+E23-F23</f>
        <v>522198.655244165</v>
      </c>
    </row>
    <row r="24" customFormat="false" ht="15" hidden="false" customHeight="false" outlineLevel="0" collapsed="false">
      <c r="A24" s="4" t="n">
        <f aca="false">A23+1</f>
        <v>19</v>
      </c>
      <c r="B24" s="4" t="n">
        <f aca="false">Assumptions!$B$4+A24</f>
        <v>54</v>
      </c>
      <c r="C24" s="4" t="str">
        <f aca="false">IF(B24&lt;=Assumptions!$B$5,"Accumulation","Retirement")</f>
        <v>Accumulation</v>
      </c>
      <c r="D24" s="20" t="n">
        <f aca="false">H23</f>
        <v>522198.655244165</v>
      </c>
      <c r="E24" s="20" t="n">
        <f aca="false">IF(B24&lt;=Assumptions!$B$5,Assumptions!$B$8*(1+Assumptions!$B$9)^(A24-1),0)</f>
        <v>20429.1967348789</v>
      </c>
      <c r="F24" s="20" t="n">
        <f aca="false">IF(B24&gt;Assumptions!$B$5,$H$3*(1+Assumptions!$B$10)^(B24-Assumptions!$B$5-1),0)</f>
        <v>0</v>
      </c>
      <c r="G24" s="20" t="n">
        <f aca="false">D24*$H$2</f>
        <v>24171.2702546143</v>
      </c>
      <c r="H24" s="20" t="n">
        <f aca="false">D24+G24+E24-F24</f>
        <v>566799.122233658</v>
      </c>
    </row>
    <row r="25" customFormat="false" ht="15" hidden="false" customHeight="false" outlineLevel="0" collapsed="false">
      <c r="A25" s="4" t="n">
        <f aca="false">A24+1</f>
        <v>20</v>
      </c>
      <c r="B25" s="4" t="n">
        <f aca="false">Assumptions!$B$4+A25</f>
        <v>55</v>
      </c>
      <c r="C25" s="4" t="str">
        <f aca="false">IF(B25&lt;=Assumptions!$B$5,"Accumulation","Retirement")</f>
        <v>Accumulation</v>
      </c>
      <c r="D25" s="20" t="n">
        <f aca="false">H24</f>
        <v>566799.122233658</v>
      </c>
      <c r="E25" s="20" t="n">
        <f aca="false">IF(B25&lt;=Assumptions!$B$5,Assumptions!$B$8*(1+Assumptions!$B$9)^(A25-1),0)</f>
        <v>21042.0726369252</v>
      </c>
      <c r="F25" s="20" t="n">
        <f aca="false">IF(B25&gt;Assumptions!$B$5,$H$3*(1+Assumptions!$B$10)^(B25-Assumptions!$B$5-1),0)</f>
        <v>0</v>
      </c>
      <c r="G25" s="20" t="n">
        <f aca="false">D25*$H$2</f>
        <v>26235.7143703904</v>
      </c>
      <c r="H25" s="20" t="n">
        <f aca="false">D25+G25+E25-F25</f>
        <v>614076.909240974</v>
      </c>
    </row>
    <row r="26" customFormat="false" ht="15" hidden="false" customHeight="false" outlineLevel="0" collapsed="false">
      <c r="A26" s="4" t="n">
        <f aca="false">A25+1</f>
        <v>21</v>
      </c>
      <c r="B26" s="4" t="n">
        <f aca="false">Assumptions!$B$4+A26</f>
        <v>56</v>
      </c>
      <c r="C26" s="4" t="str">
        <f aca="false">IF(B26&lt;=Assumptions!$B$5,"Accumulation","Retirement")</f>
        <v>Accumulation</v>
      </c>
      <c r="D26" s="20" t="n">
        <f aca="false">H25</f>
        <v>614076.909240974</v>
      </c>
      <c r="E26" s="20" t="n">
        <f aca="false">IF(B26&lt;=Assumptions!$B$5,Assumptions!$B$8*(1+Assumptions!$B$9)^(A26-1),0)</f>
        <v>21673.334816033</v>
      </c>
      <c r="F26" s="20" t="n">
        <f aca="false">IF(B26&gt;Assumptions!$B$5,$H$3*(1+Assumptions!$B$10)^(B26-Assumptions!$B$5-1),0)</f>
        <v>0</v>
      </c>
      <c r="G26" s="20" t="n">
        <f aca="false">D26*$H$2</f>
        <v>28424.0849364916</v>
      </c>
      <c r="H26" s="20" t="n">
        <f aca="false">D26+G26+E26-F26</f>
        <v>664174.328993498</v>
      </c>
    </row>
    <row r="27" customFormat="false" ht="15" hidden="false" customHeight="false" outlineLevel="0" collapsed="false">
      <c r="A27" s="4" t="n">
        <f aca="false">A26+1</f>
        <v>22</v>
      </c>
      <c r="B27" s="4" t="n">
        <f aca="false">Assumptions!$B$4+A27</f>
        <v>57</v>
      </c>
      <c r="C27" s="4" t="str">
        <f aca="false">IF(B27&lt;=Assumptions!$B$5,"Accumulation","Retirement")</f>
        <v>Accumulation</v>
      </c>
      <c r="D27" s="20" t="n">
        <f aca="false">H26</f>
        <v>664174.328993498</v>
      </c>
      <c r="E27" s="20" t="n">
        <f aca="false">IF(B27&lt;=Assumptions!$B$5,Assumptions!$B$8*(1+Assumptions!$B$9)^(A27-1),0)</f>
        <v>22323.534860514</v>
      </c>
      <c r="F27" s="20" t="n">
        <f aca="false">IF(B27&gt;Assumptions!$B$5,$H$3*(1+Assumptions!$B$10)^(B27-Assumptions!$B$5-1),0)</f>
        <v>0</v>
      </c>
      <c r="G27" s="20" t="n">
        <f aca="false">D27*$H$2</f>
        <v>30742.9692532866</v>
      </c>
      <c r="H27" s="20" t="n">
        <f aca="false">D27+G27+E27-F27</f>
        <v>717240.833107299</v>
      </c>
    </row>
    <row r="28" customFormat="false" ht="15" hidden="false" customHeight="false" outlineLevel="0" collapsed="false">
      <c r="A28" s="4" t="n">
        <f aca="false">A27+1</f>
        <v>23</v>
      </c>
      <c r="B28" s="4" t="n">
        <f aca="false">Assumptions!$B$4+A28</f>
        <v>58</v>
      </c>
      <c r="C28" s="4" t="str">
        <f aca="false">IF(B28&lt;=Assumptions!$B$5,"Accumulation","Retirement")</f>
        <v>Accumulation</v>
      </c>
      <c r="D28" s="20" t="n">
        <f aca="false">H27</f>
        <v>717240.833107299</v>
      </c>
      <c r="E28" s="20" t="n">
        <f aca="false">IF(B28&lt;=Assumptions!$B$5,Assumptions!$B$8*(1+Assumptions!$B$9)^(A28-1),0)</f>
        <v>22993.2409063294</v>
      </c>
      <c r="F28" s="20" t="n">
        <f aca="false">IF(B28&gt;Assumptions!$B$5,$H$3*(1+Assumptions!$B$10)^(B28-Assumptions!$B$5-1),0)</f>
        <v>0</v>
      </c>
      <c r="G28" s="20" t="n">
        <f aca="false">D28*$H$2</f>
        <v>33199.2850624541</v>
      </c>
      <c r="H28" s="20" t="n">
        <f aca="false">D28+G28+E28-F28</f>
        <v>773433.359076082</v>
      </c>
    </row>
    <row r="29" customFormat="false" ht="15" hidden="false" customHeight="false" outlineLevel="0" collapsed="false">
      <c r="A29" s="4" t="n">
        <f aca="false">A28+1</f>
        <v>24</v>
      </c>
      <c r="B29" s="4" t="n">
        <f aca="false">Assumptions!$B$4+A29</f>
        <v>59</v>
      </c>
      <c r="C29" s="4" t="str">
        <f aca="false">IF(B29&lt;=Assumptions!$B$5,"Accumulation","Retirement")</f>
        <v>Accumulation</v>
      </c>
      <c r="D29" s="20" t="n">
        <f aca="false">H28</f>
        <v>773433.359076082</v>
      </c>
      <c r="E29" s="20" t="n">
        <f aca="false">IF(B29&lt;=Assumptions!$B$5,Assumptions!$B$8*(1+Assumptions!$B$9)^(A29-1),0)</f>
        <v>23683.0381335193</v>
      </c>
      <c r="F29" s="20" t="n">
        <f aca="false">IF(B29&gt;Assumptions!$B$5,$H$3*(1+Assumptions!$B$10)^(B29-Assumptions!$B$5-1),0)</f>
        <v>0</v>
      </c>
      <c r="G29" s="20" t="n">
        <f aca="false">D29*$H$2</f>
        <v>35800.2966082342</v>
      </c>
      <c r="H29" s="20" t="n">
        <f aca="false">D29+G29+E29-F29</f>
        <v>832916.693817836</v>
      </c>
    </row>
    <row r="30" customFormat="false" ht="15" hidden="false" customHeight="false" outlineLevel="0" collapsed="false">
      <c r="A30" s="4" t="n">
        <f aca="false">A29+1</f>
        <v>25</v>
      </c>
      <c r="B30" s="4" t="n">
        <f aca="false">Assumptions!$B$4+A30</f>
        <v>60</v>
      </c>
      <c r="C30" s="4" t="str">
        <f aca="false">IF(B30&lt;=Assumptions!$B$5,"Accumulation","Retirement")</f>
        <v>Accumulation</v>
      </c>
      <c r="D30" s="20" t="n">
        <f aca="false">H29</f>
        <v>832916.693817836</v>
      </c>
      <c r="E30" s="20" t="n">
        <f aca="false">IF(B30&lt;=Assumptions!$B$5,Assumptions!$B$8*(1+Assumptions!$B$9)^(A30-1),0)</f>
        <v>24393.5292775249</v>
      </c>
      <c r="F30" s="20" t="n">
        <f aca="false">IF(B30&gt;Assumptions!$B$5,$H$3*(1+Assumptions!$B$10)^(B30-Assumptions!$B$5-1),0)</f>
        <v>0</v>
      </c>
      <c r="G30" s="20" t="n">
        <f aca="false">D30*$H$2</f>
        <v>38553.6314650931</v>
      </c>
      <c r="H30" s="20" t="n">
        <f aca="false">D30+G30+E30-F30</f>
        <v>895863.854560454</v>
      </c>
    </row>
    <row r="31" customFormat="false" ht="15" hidden="false" customHeight="false" outlineLevel="0" collapsed="false">
      <c r="A31" s="4" t="n">
        <f aca="false">A30+1</f>
        <v>26</v>
      </c>
      <c r="B31" s="4" t="n">
        <f aca="false">Assumptions!$B$4+A31</f>
        <v>61</v>
      </c>
      <c r="C31" s="4" t="str">
        <f aca="false">IF(B31&lt;=Assumptions!$B$5,"Accumulation","Retirement")</f>
        <v>Accumulation</v>
      </c>
      <c r="D31" s="20" t="n">
        <f aca="false">H30</f>
        <v>895863.854560454</v>
      </c>
      <c r="E31" s="20" t="n">
        <f aca="false">IF(B31&lt;=Assumptions!$B$5,Assumptions!$B$8*(1+Assumptions!$B$9)^(A31-1),0)</f>
        <v>25125.3351558506</v>
      </c>
      <c r="F31" s="20" t="n">
        <f aca="false">IF(B31&gt;Assumptions!$B$5,$H$3*(1+Assumptions!$B$10)^(B31-Assumptions!$B$5-1),0)</f>
        <v>0</v>
      </c>
      <c r="G31" s="20" t="n">
        <f aca="false">D31*$H$2</f>
        <v>41467.298167967</v>
      </c>
      <c r="H31" s="20" t="n">
        <f aca="false">D31+G31+E31-F31</f>
        <v>962456.487884271</v>
      </c>
    </row>
    <row r="32" customFormat="false" ht="15" hidden="false" customHeight="false" outlineLevel="0" collapsed="false">
      <c r="A32" s="4" t="n">
        <f aca="false">A31+1</f>
        <v>27</v>
      </c>
      <c r="B32" s="4" t="n">
        <f aca="false">Assumptions!$B$4+A32</f>
        <v>62</v>
      </c>
      <c r="C32" s="4" t="str">
        <f aca="false">IF(B32&lt;=Assumptions!$B$5,"Accumulation","Retirement")</f>
        <v>Accumulation</v>
      </c>
      <c r="D32" s="20" t="n">
        <f aca="false">H31</f>
        <v>962456.487884271</v>
      </c>
      <c r="E32" s="20" t="n">
        <f aca="false">IF(B32&lt;=Assumptions!$B$5,Assumptions!$B$8*(1+Assumptions!$B$9)^(A32-1),0)</f>
        <v>25879.0952105261</v>
      </c>
      <c r="F32" s="20" t="n">
        <f aca="false">IF(B32&gt;Assumptions!$B$5,$H$3*(1+Assumptions!$B$10)^(B32-Assumptions!$B$5-1),0)</f>
        <v>0</v>
      </c>
      <c r="G32" s="20" t="n">
        <f aca="false">D32*$H$2</f>
        <v>44549.7046829432</v>
      </c>
      <c r="H32" s="20" t="n">
        <f aca="false">D32+G32+E32-F32</f>
        <v>1032885.28777774</v>
      </c>
    </row>
    <row r="33" customFormat="false" ht="15" hidden="false" customHeight="false" outlineLevel="0" collapsed="false">
      <c r="A33" s="4" t="n">
        <f aca="false">A32+1</f>
        <v>28</v>
      </c>
      <c r="B33" s="4" t="n">
        <f aca="false">Assumptions!$B$4+A33</f>
        <v>63</v>
      </c>
      <c r="C33" s="4" t="str">
        <f aca="false">IF(B33&lt;=Assumptions!$B$5,"Accumulation","Retirement")</f>
        <v>Accumulation</v>
      </c>
      <c r="D33" s="20" t="n">
        <f aca="false">H32</f>
        <v>1032885.28777774</v>
      </c>
      <c r="E33" s="20" t="n">
        <f aca="false">IF(B33&lt;=Assumptions!$B$5,Assumptions!$B$8*(1+Assumptions!$B$9)^(A33-1),0)</f>
        <v>26655.4680668419</v>
      </c>
      <c r="F33" s="20" t="n">
        <f aca="false">IF(B33&gt;Assumptions!$B$5,$H$3*(1+Assumptions!$B$10)^(B33-Assumptions!$B$5-1),0)</f>
        <v>0</v>
      </c>
      <c r="G33" s="20" t="n">
        <f aca="false">D33*$H$2</f>
        <v>47809.6777580122</v>
      </c>
      <c r="H33" s="20" t="n">
        <f aca="false">D33+G33+E33-F33</f>
        <v>1107350.43360259</v>
      </c>
    </row>
    <row r="34" customFormat="false" ht="15" hidden="false" customHeight="false" outlineLevel="0" collapsed="false">
      <c r="A34" s="4" t="n">
        <f aca="false">A33+1</f>
        <v>29</v>
      </c>
      <c r="B34" s="4" t="n">
        <f aca="false">Assumptions!$B$4+A34</f>
        <v>64</v>
      </c>
      <c r="C34" s="4" t="str">
        <f aca="false">IF(B34&lt;=Assumptions!$B$5,"Accumulation","Retirement")</f>
        <v>Accumulation</v>
      </c>
      <c r="D34" s="20" t="n">
        <f aca="false">H33</f>
        <v>1107350.43360259</v>
      </c>
      <c r="E34" s="20" t="n">
        <f aca="false">IF(B34&lt;=Assumptions!$B$5,Assumptions!$B$8*(1+Assumptions!$B$9)^(A34-1),0)</f>
        <v>27455.1321088472</v>
      </c>
      <c r="F34" s="20" t="n">
        <f aca="false">IF(B34&gt;Assumptions!$B$5,$H$3*(1+Assumptions!$B$10)^(B34-Assumptions!$B$5-1),0)</f>
        <v>0</v>
      </c>
      <c r="G34" s="20" t="n">
        <f aca="false">D34*$H$2</f>
        <v>51256.4831953801</v>
      </c>
      <c r="H34" s="20" t="n">
        <f aca="false">D34+G34+E34-F34</f>
        <v>1186062.04890682</v>
      </c>
    </row>
    <row r="35" customFormat="false" ht="15" hidden="false" customHeight="false" outlineLevel="0" collapsed="false">
      <c r="A35" s="4" t="n">
        <f aca="false">A34+1</f>
        <v>30</v>
      </c>
      <c r="B35" s="4" t="n">
        <f aca="false">Assumptions!$B$4+A35</f>
        <v>65</v>
      </c>
      <c r="C35" s="4" t="str">
        <f aca="false">IF(B35&lt;=Assumptions!$B$5,"Accumulation","Retirement")</f>
        <v>Accumulation</v>
      </c>
      <c r="D35" s="20" t="n">
        <f aca="false">H34</f>
        <v>1186062.04890682</v>
      </c>
      <c r="E35" s="20" t="n">
        <f aca="false">IF(B35&lt;=Assumptions!$B$5,Assumptions!$B$8*(1+Assumptions!$B$9)^(A35-1),0)</f>
        <v>28278.7860721126</v>
      </c>
      <c r="F35" s="20" t="n">
        <f aca="false">IF(B35&gt;Assumptions!$B$5,$H$3*(1+Assumptions!$B$10)^(B35-Assumptions!$B$5-1),0)</f>
        <v>0</v>
      </c>
      <c r="G35" s="20" t="n">
        <f aca="false">D35*$H$2</f>
        <v>54899.8470887745</v>
      </c>
      <c r="H35" s="20" t="n">
        <f aca="false">D35+G35+E35-F35</f>
        <v>1269240.68206771</v>
      </c>
    </row>
    <row r="36" customFormat="false" ht="15" hidden="false" customHeight="false" outlineLevel="0" collapsed="false">
      <c r="A36" s="4" t="n">
        <f aca="false">A35+1</f>
        <v>31</v>
      </c>
      <c r="B36" s="4" t="n">
        <f aca="false">Assumptions!$B$4+A36</f>
        <v>66</v>
      </c>
      <c r="C36" s="4" t="str">
        <f aca="false">IF(B36&lt;=Assumptions!$B$5,"Accumulation","Retirement")</f>
        <v>Retirement</v>
      </c>
      <c r="D36" s="20" t="n">
        <f aca="false">H35</f>
        <v>1269240.68206771</v>
      </c>
      <c r="E36" s="20" t="n">
        <f aca="false">IF(B36&lt;=Assumptions!$B$5,Assumptions!$B$8*(1+Assumptions!$B$9)^(A36-1),0)</f>
        <v>0</v>
      </c>
      <c r="F36" s="20" t="n">
        <f aca="false">IF(B36&gt;Assumptions!$B$5,$H$3*(1+Assumptions!$B$10)^(B36-Assumptions!$B$5-1),0)</f>
        <v>54536.7570561264</v>
      </c>
      <c r="G36" s="20" t="n">
        <f aca="false">D36*$H$2</f>
        <v>58749.9780712091</v>
      </c>
      <c r="H36" s="20" t="n">
        <f aca="false">D36+G36+E36-F36</f>
        <v>1273453.90308279</v>
      </c>
    </row>
    <row r="37" customFormat="false" ht="15" hidden="false" customHeight="false" outlineLevel="0" collapsed="false">
      <c r="A37" s="4" t="n">
        <f aca="false">A36+1</f>
        <v>32</v>
      </c>
      <c r="B37" s="4" t="n">
        <f aca="false">Assumptions!$B$4+A37</f>
        <v>67</v>
      </c>
      <c r="C37" s="4" t="str">
        <f aca="false">IF(B37&lt;=Assumptions!$B$5,"Accumulation","Retirement")</f>
        <v>Retirement</v>
      </c>
      <c r="D37" s="20" t="n">
        <f aca="false">H36</f>
        <v>1273453.90308279</v>
      </c>
      <c r="E37" s="20" t="n">
        <f aca="false">IF(B37&lt;=Assumptions!$B$5,Assumptions!$B$8*(1+Assumptions!$B$9)^(A37-1),0)</f>
        <v>0</v>
      </c>
      <c r="F37" s="20" t="n">
        <f aca="false">IF(B37&gt;Assumptions!$B$5,$H$3*(1+Assumptions!$B$10)^(B37-Assumptions!$B$5-1),0)</f>
        <v>55900.1759825296</v>
      </c>
      <c r="G37" s="20" t="n">
        <f aca="false">D37*$H$2</f>
        <v>58944.9975389447</v>
      </c>
      <c r="H37" s="20" t="n">
        <f aca="false">D37+G37+E37-F37</f>
        <v>1276498.72463921</v>
      </c>
    </row>
    <row r="38" customFormat="false" ht="15" hidden="false" customHeight="false" outlineLevel="0" collapsed="false">
      <c r="A38" s="4" t="n">
        <f aca="false">A37+1</f>
        <v>33</v>
      </c>
      <c r="B38" s="4" t="n">
        <f aca="false">Assumptions!$B$4+A38</f>
        <v>68</v>
      </c>
      <c r="C38" s="4" t="str">
        <f aca="false">IF(B38&lt;=Assumptions!$B$5,"Accumulation","Retirement")</f>
        <v>Retirement</v>
      </c>
      <c r="D38" s="20" t="n">
        <f aca="false">H37</f>
        <v>1276498.72463921</v>
      </c>
      <c r="E38" s="20" t="n">
        <f aca="false">IF(B38&lt;=Assumptions!$B$5,Assumptions!$B$8*(1+Assumptions!$B$9)^(A38-1),0)</f>
        <v>0</v>
      </c>
      <c r="F38" s="20" t="n">
        <f aca="false">IF(B38&gt;Assumptions!$B$5,$H$3*(1+Assumptions!$B$10)^(B38-Assumptions!$B$5-1),0)</f>
        <v>57297.6803820928</v>
      </c>
      <c r="G38" s="20" t="n">
        <f aca="false">D38*$H$2</f>
        <v>59085.9347167373</v>
      </c>
      <c r="H38" s="20" t="n">
        <f aca="false">D38+G38+E38-F38</f>
        <v>1278286.97897385</v>
      </c>
    </row>
    <row r="39" customFormat="false" ht="15" hidden="false" customHeight="false" outlineLevel="0" collapsed="false">
      <c r="A39" s="4" t="n">
        <f aca="false">A38+1</f>
        <v>34</v>
      </c>
      <c r="B39" s="4" t="n">
        <f aca="false">Assumptions!$B$4+A39</f>
        <v>69</v>
      </c>
      <c r="C39" s="4" t="str">
        <f aca="false">IF(B39&lt;=Assumptions!$B$5,"Accumulation","Retirement")</f>
        <v>Retirement</v>
      </c>
      <c r="D39" s="20" t="n">
        <f aca="false">H38</f>
        <v>1278286.97897385</v>
      </c>
      <c r="E39" s="20" t="n">
        <f aca="false">IF(B39&lt;=Assumptions!$B$5,Assumptions!$B$8*(1+Assumptions!$B$9)^(A39-1),0)</f>
        <v>0</v>
      </c>
      <c r="F39" s="20" t="n">
        <f aca="false">IF(B39&gt;Assumptions!$B$5,$H$3*(1+Assumptions!$B$10)^(B39-Assumptions!$B$5-1),0)</f>
        <v>58730.1223916451</v>
      </c>
      <c r="G39" s="20" t="n">
        <f aca="false">D39*$H$2</f>
        <v>59168.7085392522</v>
      </c>
      <c r="H39" s="20" t="n">
        <f aca="false">D39+G39+E39-F39</f>
        <v>1278725.56512146</v>
      </c>
    </row>
    <row r="40" customFormat="false" ht="15" hidden="false" customHeight="false" outlineLevel="0" collapsed="false">
      <c r="A40" s="4" t="n">
        <f aca="false">A39+1</f>
        <v>35</v>
      </c>
      <c r="B40" s="4" t="n">
        <f aca="false">Assumptions!$B$4+A40</f>
        <v>70</v>
      </c>
      <c r="C40" s="4" t="str">
        <f aca="false">IF(B40&lt;=Assumptions!$B$5,"Accumulation","Retirement")</f>
        <v>Retirement</v>
      </c>
      <c r="D40" s="20" t="n">
        <f aca="false">H39</f>
        <v>1278725.56512146</v>
      </c>
      <c r="E40" s="20" t="n">
        <f aca="false">IF(B40&lt;=Assumptions!$B$5,Assumptions!$B$8*(1+Assumptions!$B$9)^(A40-1),0)</f>
        <v>0</v>
      </c>
      <c r="F40" s="20" t="n">
        <f aca="false">IF(B40&gt;Assumptions!$B$5,$H$3*(1+Assumptions!$B$10)^(B40-Assumptions!$B$5-1),0)</f>
        <v>60198.3754514363</v>
      </c>
      <c r="G40" s="20" t="n">
        <f aca="false">D40*$H$2</f>
        <v>59189.0095955595</v>
      </c>
      <c r="H40" s="20" t="n">
        <f aca="false">D40+G40+E40-F40</f>
        <v>1277716.19926558</v>
      </c>
    </row>
    <row r="41" customFormat="false" ht="15" hidden="false" customHeight="false" outlineLevel="0" collapsed="false">
      <c r="A41" s="4" t="n">
        <f aca="false">A40+1</f>
        <v>36</v>
      </c>
      <c r="B41" s="4" t="n">
        <f aca="false">Assumptions!$B$4+A41</f>
        <v>71</v>
      </c>
      <c r="C41" s="4" t="str">
        <f aca="false">IF(B41&lt;=Assumptions!$B$5,"Accumulation","Retirement")</f>
        <v>Retirement</v>
      </c>
      <c r="D41" s="20" t="n">
        <f aca="false">H40</f>
        <v>1277716.19926558</v>
      </c>
      <c r="E41" s="20" t="n">
        <f aca="false">IF(B41&lt;=Assumptions!$B$5,Assumptions!$B$8*(1+Assumptions!$B$9)^(A41-1),0)</f>
        <v>0</v>
      </c>
      <c r="F41" s="20" t="n">
        <f aca="false">IF(B41&gt;Assumptions!$B$5,$H$3*(1+Assumptions!$B$10)^(B41-Assumptions!$B$5-1),0)</f>
        <v>61703.3348377222</v>
      </c>
      <c r="G41" s="20" t="n">
        <f aca="false">D41*$H$2</f>
        <v>59142.2885735056</v>
      </c>
      <c r="H41" s="20" t="n">
        <f aca="false">D41+G41+E41-F41</f>
        <v>1275155.15300137</v>
      </c>
    </row>
    <row r="42" customFormat="false" ht="15" hidden="false" customHeight="false" outlineLevel="0" collapsed="false">
      <c r="A42" s="4" t="n">
        <f aca="false">A41+1</f>
        <v>37</v>
      </c>
      <c r="B42" s="4" t="n">
        <f aca="false">Assumptions!$B$4+A42</f>
        <v>72</v>
      </c>
      <c r="C42" s="4" t="str">
        <f aca="false">IF(B42&lt;=Assumptions!$B$5,"Accumulation","Retirement")</f>
        <v>Retirement</v>
      </c>
      <c r="D42" s="20" t="n">
        <f aca="false">H41</f>
        <v>1275155.15300137</v>
      </c>
      <c r="E42" s="20" t="n">
        <f aca="false">IF(B42&lt;=Assumptions!$B$5,Assumptions!$B$8*(1+Assumptions!$B$9)^(A42-1),0)</f>
        <v>0</v>
      </c>
      <c r="F42" s="20" t="n">
        <f aca="false">IF(B42&gt;Assumptions!$B$5,$H$3*(1+Assumptions!$B$10)^(B42-Assumptions!$B$5-1),0)</f>
        <v>63245.9182086652</v>
      </c>
      <c r="G42" s="20" t="n">
        <f aca="false">D42*$H$2</f>
        <v>59023.7441445507</v>
      </c>
      <c r="H42" s="20" t="n">
        <f aca="false">D42+G42+E42-F42</f>
        <v>1270932.97893725</v>
      </c>
    </row>
    <row r="43" customFormat="false" ht="15" hidden="false" customHeight="false" outlineLevel="0" collapsed="false">
      <c r="A43" s="4" t="n">
        <f aca="false">A42+1</f>
        <v>38</v>
      </c>
      <c r="B43" s="4" t="n">
        <f aca="false">Assumptions!$B$4+A43</f>
        <v>73</v>
      </c>
      <c r="C43" s="4" t="str">
        <f aca="false">IF(B43&lt;=Assumptions!$B$5,"Accumulation","Retirement")</f>
        <v>Retirement</v>
      </c>
      <c r="D43" s="20" t="n">
        <f aca="false">H42</f>
        <v>1270932.97893725</v>
      </c>
      <c r="E43" s="20" t="n">
        <f aca="false">IF(B43&lt;=Assumptions!$B$5,Assumptions!$B$8*(1+Assumptions!$B$9)^(A43-1),0)</f>
        <v>0</v>
      </c>
      <c r="F43" s="20" t="n">
        <f aca="false">IF(B43&gt;Assumptions!$B$5,$H$3*(1+Assumptions!$B$10)^(B43-Assumptions!$B$5-1),0)</f>
        <v>64827.0661638818</v>
      </c>
      <c r="G43" s="20" t="n">
        <f aca="false">D43*$H$2</f>
        <v>58828.310262558</v>
      </c>
      <c r="H43" s="20" t="n">
        <f aca="false">D43+G43+E43-F43</f>
        <v>1264934.22303593</v>
      </c>
    </row>
    <row r="44" customFormat="false" ht="15" hidden="false" customHeight="false" outlineLevel="0" collapsed="false">
      <c r="A44" s="4" t="n">
        <f aca="false">A43+1</f>
        <v>39</v>
      </c>
      <c r="B44" s="4" t="n">
        <f aca="false">Assumptions!$B$4+A44</f>
        <v>74</v>
      </c>
      <c r="C44" s="4" t="str">
        <f aca="false">IF(B44&lt;=Assumptions!$B$5,"Accumulation","Retirement")</f>
        <v>Retirement</v>
      </c>
      <c r="D44" s="20" t="n">
        <f aca="false">H43</f>
        <v>1264934.22303593</v>
      </c>
      <c r="E44" s="20" t="n">
        <f aca="false">IF(B44&lt;=Assumptions!$B$5,Assumptions!$B$8*(1+Assumptions!$B$9)^(A44-1),0)</f>
        <v>0</v>
      </c>
      <c r="F44" s="20" t="n">
        <f aca="false">IF(B44&gt;Assumptions!$B$5,$H$3*(1+Assumptions!$B$10)^(B44-Assumptions!$B$5-1),0)</f>
        <v>66447.7428179789</v>
      </c>
      <c r="G44" s="20" t="n">
        <f aca="false">D44*$H$2</f>
        <v>58550.6428487755</v>
      </c>
      <c r="H44" s="20" t="n">
        <f aca="false">D44+G44+E44-F44</f>
        <v>1257037.12306672</v>
      </c>
    </row>
    <row r="45" customFormat="false" ht="15" hidden="false" customHeight="false" outlineLevel="0" collapsed="false">
      <c r="A45" s="4" t="n">
        <f aca="false">A44+1</f>
        <v>40</v>
      </c>
      <c r="B45" s="4" t="n">
        <f aca="false">Assumptions!$B$4+A45</f>
        <v>75</v>
      </c>
      <c r="C45" s="4" t="str">
        <f aca="false">IF(B45&lt;=Assumptions!$B$5,"Accumulation","Retirement")</f>
        <v>Retirement</v>
      </c>
      <c r="D45" s="20" t="n">
        <f aca="false">H44</f>
        <v>1257037.12306672</v>
      </c>
      <c r="E45" s="20" t="n">
        <f aca="false">IF(B45&lt;=Assumptions!$B$5,Assumptions!$B$8*(1+Assumptions!$B$9)^(A45-1),0)</f>
        <v>0</v>
      </c>
      <c r="F45" s="20" t="n">
        <f aca="false">IF(B45&gt;Assumptions!$B$5,$H$3*(1+Assumptions!$B$10)^(B45-Assumptions!$B$5-1),0)</f>
        <v>68108.9363884283</v>
      </c>
      <c r="G45" s="20" t="n">
        <f aca="false">D45*$H$2</f>
        <v>58185.105833951</v>
      </c>
      <c r="H45" s="20" t="n">
        <f aca="false">D45+G45+E45-F45</f>
        <v>1247113.29251225</v>
      </c>
    </row>
    <row r="46" customFormat="false" ht="15" hidden="false" customHeight="false" outlineLevel="0" collapsed="false">
      <c r="A46" s="4" t="n">
        <f aca="false">A45+1</f>
        <v>41</v>
      </c>
      <c r="B46" s="4" t="n">
        <f aca="false">Assumptions!$B$4+A46</f>
        <v>76</v>
      </c>
      <c r="C46" s="4" t="str">
        <f aca="false">IF(B46&lt;=Assumptions!$B$5,"Accumulation","Retirement")</f>
        <v>Retirement</v>
      </c>
      <c r="D46" s="20" t="n">
        <f aca="false">H45</f>
        <v>1247113.29251225</v>
      </c>
      <c r="E46" s="20" t="n">
        <f aca="false">IF(B46&lt;=Assumptions!$B$5,Assumptions!$B$8*(1+Assumptions!$B$9)^(A46-1),0)</f>
        <v>0</v>
      </c>
      <c r="F46" s="20" t="n">
        <f aca="false">IF(B46&gt;Assumptions!$B$5,$H$3*(1+Assumptions!$B$10)^(B46-Assumptions!$B$5-1),0)</f>
        <v>69811.659798139</v>
      </c>
      <c r="G46" s="20" t="n">
        <f aca="false">D46*$H$2</f>
        <v>57725.7565271606</v>
      </c>
      <c r="H46" s="20" t="n">
        <f aca="false">D46+G46+E46-F46</f>
        <v>1235027.38924127</v>
      </c>
    </row>
    <row r="47" customFormat="false" ht="15" hidden="false" customHeight="false" outlineLevel="0" collapsed="false">
      <c r="A47" s="4" t="n">
        <f aca="false">A46+1</f>
        <v>42</v>
      </c>
      <c r="B47" s="4" t="n">
        <f aca="false">Assumptions!$B$4+A47</f>
        <v>77</v>
      </c>
      <c r="C47" s="4" t="str">
        <f aca="false">IF(B47&lt;=Assumptions!$B$5,"Accumulation","Retirement")</f>
        <v>Retirement</v>
      </c>
      <c r="D47" s="20" t="n">
        <f aca="false">H46</f>
        <v>1235027.38924127</v>
      </c>
      <c r="E47" s="20" t="n">
        <f aca="false">IF(B47&lt;=Assumptions!$B$5,Assumptions!$B$8*(1+Assumptions!$B$9)^(A47-1),0)</f>
        <v>0</v>
      </c>
      <c r="F47" s="20" t="n">
        <f aca="false">IF(B47&gt;Assumptions!$B$5,$H$3*(1+Assumptions!$B$10)^(B47-Assumptions!$B$5-1),0)</f>
        <v>71556.9512930925</v>
      </c>
      <c r="G47" s="20" t="n">
        <f aca="false">D47*$H$2</f>
        <v>57166.3302795052</v>
      </c>
      <c r="H47" s="20" t="n">
        <f aca="false">D47+G47+E47-F47</f>
        <v>1220636.76822768</v>
      </c>
    </row>
    <row r="48" customFormat="false" ht="15" hidden="false" customHeight="false" outlineLevel="0" collapsed="false">
      <c r="A48" s="4" t="n">
        <f aca="false">A47+1</f>
        <v>43</v>
      </c>
      <c r="B48" s="4" t="n">
        <f aca="false">Assumptions!$B$4+A48</f>
        <v>78</v>
      </c>
      <c r="C48" s="4" t="str">
        <f aca="false">IF(B48&lt;=Assumptions!$B$5,"Accumulation","Retirement")</f>
        <v>Retirement</v>
      </c>
      <c r="D48" s="20" t="n">
        <f aca="false">H47</f>
        <v>1220636.76822768</v>
      </c>
      <c r="E48" s="20" t="n">
        <f aca="false">IF(B48&lt;=Assumptions!$B$5,Assumptions!$B$8*(1+Assumptions!$B$9)^(A48-1),0)</f>
        <v>0</v>
      </c>
      <c r="F48" s="20" t="n">
        <f aca="false">IF(B48&gt;Assumptions!$B$5,$H$3*(1+Assumptions!$B$10)^(B48-Assumptions!$B$5-1),0)</f>
        <v>73345.8750754198</v>
      </c>
      <c r="G48" s="20" t="n">
        <f aca="false">D48*$H$2</f>
        <v>56500.2244093388</v>
      </c>
      <c r="H48" s="20" t="n">
        <f aca="false">D48+G48+E48-F48</f>
        <v>1203791.1175616</v>
      </c>
    </row>
    <row r="49" customFormat="false" ht="15" hidden="false" customHeight="false" outlineLevel="0" collapsed="false">
      <c r="A49" s="4" t="n">
        <f aca="false">A48+1</f>
        <v>44</v>
      </c>
      <c r="B49" s="4" t="n">
        <f aca="false">Assumptions!$B$4+A49</f>
        <v>79</v>
      </c>
      <c r="C49" s="4" t="str">
        <f aca="false">IF(B49&lt;=Assumptions!$B$5,"Accumulation","Retirement")</f>
        <v>Retirement</v>
      </c>
      <c r="D49" s="20" t="n">
        <f aca="false">H48</f>
        <v>1203791.1175616</v>
      </c>
      <c r="E49" s="20" t="n">
        <f aca="false">IF(B49&lt;=Assumptions!$B$5,Assumptions!$B$8*(1+Assumptions!$B$9)^(A49-1),0)</f>
        <v>0</v>
      </c>
      <c r="F49" s="20" t="n">
        <f aca="false">IF(B49&gt;Assumptions!$B$5,$H$3*(1+Assumptions!$B$10)^(B49-Assumptions!$B$5-1),0)</f>
        <v>75179.5219523053</v>
      </c>
      <c r="G49" s="20" t="n">
        <f aca="false">D49*$H$2</f>
        <v>55720.4813541325</v>
      </c>
      <c r="H49" s="20" t="n">
        <f aca="false">D49+G49+E49-F49</f>
        <v>1184332.07696343</v>
      </c>
    </row>
    <row r="50" customFormat="false" ht="15" hidden="false" customHeight="false" outlineLevel="0" collapsed="false">
      <c r="A50" s="4" t="n">
        <f aca="false">A49+1</f>
        <v>45</v>
      </c>
      <c r="B50" s="4" t="n">
        <f aca="false">Assumptions!$B$4+A50</f>
        <v>80</v>
      </c>
      <c r="C50" s="4" t="str">
        <f aca="false">IF(B50&lt;=Assumptions!$B$5,"Accumulation","Retirement")</f>
        <v>Retirement</v>
      </c>
      <c r="D50" s="20" t="n">
        <f aca="false">H49</f>
        <v>1184332.07696343</v>
      </c>
      <c r="E50" s="20" t="n">
        <f aca="false">IF(B50&lt;=Assumptions!$B$5,Assumptions!$B$8*(1+Assumptions!$B$9)^(A50-1),0)</f>
        <v>0</v>
      </c>
      <c r="F50" s="20" t="n">
        <f aca="false">IF(B50&gt;Assumptions!$B$5,$H$3*(1+Assumptions!$B$10)^(B50-Assumptions!$B$5-1),0)</f>
        <v>77059.0100011129</v>
      </c>
      <c r="G50" s="20" t="n">
        <f aca="false">D50*$H$2</f>
        <v>54819.7710124446</v>
      </c>
      <c r="H50" s="20" t="n">
        <f aca="false">D50+G50+E50-F50</f>
        <v>1162092.83797476</v>
      </c>
    </row>
    <row r="51" customFormat="false" ht="15" hidden="false" customHeight="false" outlineLevel="0" collapsed="false">
      <c r="A51" s="4" t="n">
        <f aca="false">A50+1</f>
        <v>46</v>
      </c>
      <c r="B51" s="4" t="n">
        <f aca="false">Assumptions!$B$4+A51</f>
        <v>81</v>
      </c>
      <c r="C51" s="4" t="str">
        <f aca="false">IF(B51&lt;=Assumptions!$B$5,"Accumulation","Retirement")</f>
        <v>Retirement</v>
      </c>
      <c r="D51" s="20" t="n">
        <f aca="false">H50</f>
        <v>1162092.83797476</v>
      </c>
      <c r="E51" s="20" t="n">
        <f aca="false">IF(B51&lt;=Assumptions!$B$5,Assumptions!$B$8*(1+Assumptions!$B$9)^(A51-1),0)</f>
        <v>0</v>
      </c>
      <c r="F51" s="20" t="n">
        <f aca="false">IF(B51&gt;Assumptions!$B$5,$H$3*(1+Assumptions!$B$10)^(B51-Assumptions!$B$5-1),0)</f>
        <v>78985.4852511408</v>
      </c>
      <c r="G51" s="20" t="n">
        <f aca="false">D51*$H$2</f>
        <v>53790.3722377566</v>
      </c>
      <c r="H51" s="20" t="n">
        <f aca="false">D51+G51+E51-F51</f>
        <v>1136897.72496137</v>
      </c>
    </row>
    <row r="52" customFormat="false" ht="15" hidden="false" customHeight="false" outlineLevel="0" collapsed="false">
      <c r="A52" s="4" t="n">
        <f aca="false">A51+1</f>
        <v>47</v>
      </c>
      <c r="B52" s="4" t="n">
        <f aca="false">Assumptions!$B$4+A52</f>
        <v>82</v>
      </c>
      <c r="C52" s="4" t="str">
        <f aca="false">IF(B52&lt;=Assumptions!$B$5,"Accumulation","Retirement")</f>
        <v>Retirement</v>
      </c>
      <c r="D52" s="20" t="n">
        <f aca="false">H51</f>
        <v>1136897.72496137</v>
      </c>
      <c r="E52" s="20" t="n">
        <f aca="false">IF(B52&lt;=Assumptions!$B$5,Assumptions!$B$8*(1+Assumptions!$B$9)^(A52-1),0)</f>
        <v>0</v>
      </c>
      <c r="F52" s="20" t="n">
        <f aca="false">IF(B52&gt;Assumptions!$B$5,$H$3*(1+Assumptions!$B$10)^(B52-Assumptions!$B$5-1),0)</f>
        <v>80960.1223824193</v>
      </c>
      <c r="G52" s="20" t="n">
        <f aca="false">D52*$H$2</f>
        <v>52624.1534441496</v>
      </c>
      <c r="H52" s="20" t="n">
        <f aca="false">D52+G52+E52-F52</f>
        <v>1108561.7560231</v>
      </c>
    </row>
    <row r="53" customFormat="false" ht="15" hidden="false" customHeight="false" outlineLevel="0" collapsed="false">
      <c r="A53" s="4" t="n">
        <f aca="false">A52+1</f>
        <v>48</v>
      </c>
      <c r="B53" s="4" t="n">
        <f aca="false">Assumptions!$B$4+A53</f>
        <v>83</v>
      </c>
      <c r="C53" s="4" t="str">
        <f aca="false">IF(B53&lt;=Assumptions!$B$5,"Accumulation","Retirement")</f>
        <v>Retirement</v>
      </c>
      <c r="D53" s="20" t="n">
        <f aca="false">H52</f>
        <v>1108561.7560231</v>
      </c>
      <c r="E53" s="20" t="n">
        <f aca="false">IF(B53&lt;=Assumptions!$B$5,Assumptions!$B$8*(1+Assumptions!$B$9)^(A53-1),0)</f>
        <v>0</v>
      </c>
      <c r="F53" s="20" t="n">
        <f aca="false">IF(B53&gt;Assumptions!$B$5,$H$3*(1+Assumptions!$B$10)^(B53-Assumptions!$B$5-1),0)</f>
        <v>82984.1254419797</v>
      </c>
      <c r="G53" s="20" t="n">
        <f aca="false">D53*$H$2</f>
        <v>51312.5522819194</v>
      </c>
      <c r="H53" s="20" t="n">
        <f aca="false">D53+G53+E53-F53</f>
        <v>1076890.18286304</v>
      </c>
    </row>
    <row r="54" customFormat="false" ht="15" hidden="false" customHeight="false" outlineLevel="0" collapsed="false">
      <c r="A54" s="4" t="n">
        <f aca="false">A53+1</f>
        <v>49</v>
      </c>
      <c r="B54" s="4" t="n">
        <f aca="false">Assumptions!$B$4+A54</f>
        <v>84</v>
      </c>
      <c r="C54" s="4" t="str">
        <f aca="false">IF(B54&lt;=Assumptions!$B$5,"Accumulation","Retirement")</f>
        <v>Retirement</v>
      </c>
      <c r="D54" s="20" t="n">
        <f aca="false">H53</f>
        <v>1076890.18286304</v>
      </c>
      <c r="E54" s="20" t="n">
        <f aca="false">IF(B54&lt;=Assumptions!$B$5,Assumptions!$B$8*(1+Assumptions!$B$9)^(A54-1),0)</f>
        <v>0</v>
      </c>
      <c r="F54" s="20" t="n">
        <f aca="false">IF(B54&gt;Assumptions!$B$5,$H$3*(1+Assumptions!$B$10)^(B54-Assumptions!$B$5-1),0)</f>
        <v>85058.7285780292</v>
      </c>
      <c r="G54" s="20" t="n">
        <f aca="false">D54*$H$2</f>
        <v>49846.5543392731</v>
      </c>
      <c r="H54" s="20" t="n">
        <f aca="false">D54+G54+E54-F54</f>
        <v>1041678.00862429</v>
      </c>
    </row>
    <row r="55" customFormat="false" ht="15" hidden="false" customHeight="false" outlineLevel="0" collapsed="false">
      <c r="A55" s="4" t="n">
        <f aca="false">A54+1</f>
        <v>50</v>
      </c>
      <c r="B55" s="4" t="n">
        <f aca="false">Assumptions!$B$4+A55</f>
        <v>85</v>
      </c>
      <c r="C55" s="4" t="str">
        <f aca="false">IF(B55&lt;=Assumptions!$B$5,"Accumulation","Retirement")</f>
        <v>Retirement</v>
      </c>
      <c r="D55" s="20" t="n">
        <f aca="false">H54</f>
        <v>1041678.00862429</v>
      </c>
      <c r="E55" s="20" t="n">
        <f aca="false">IF(B55&lt;=Assumptions!$B$5,Assumptions!$B$8*(1+Assumptions!$B$9)^(A55-1),0)</f>
        <v>0</v>
      </c>
      <c r="F55" s="20" t="n">
        <f aca="false">IF(B55&gt;Assumptions!$B$5,$H$3*(1+Assumptions!$B$10)^(B55-Assumptions!$B$5-1),0)</f>
        <v>87185.1967924799</v>
      </c>
      <c r="G55" s="20" t="n">
        <f aca="false">D55*$H$2</f>
        <v>48216.6708241967</v>
      </c>
      <c r="H55" s="20" t="n">
        <f aca="false">D55+G55+E55-F55</f>
        <v>1002709.482656</v>
      </c>
    </row>
    <row r="56" customFormat="false" ht="15" hidden="false" customHeight="false" outlineLevel="0" collapsed="false">
      <c r="A56" s="4" t="n">
        <f aca="false">A55+1</f>
        <v>51</v>
      </c>
      <c r="B56" s="4" t="n">
        <f aca="false">Assumptions!$B$4+A56</f>
        <v>86</v>
      </c>
      <c r="C56" s="4" t="str">
        <f aca="false">IF(B56&lt;=Assumptions!$B$5,"Accumulation","Retirement")</f>
        <v>Retirement</v>
      </c>
      <c r="D56" s="20" t="n">
        <f aca="false">H55</f>
        <v>1002709.482656</v>
      </c>
      <c r="E56" s="20" t="n">
        <f aca="false">IF(B56&lt;=Assumptions!$B$5,Assumptions!$B$8*(1+Assumptions!$B$9)^(A56-1),0)</f>
        <v>0</v>
      </c>
      <c r="F56" s="20" t="n">
        <f aca="false">IF(B56&gt;Assumptions!$B$5,$H$3*(1+Assumptions!$B$10)^(B56-Assumptions!$B$5-1),0)</f>
        <v>89364.8267122919</v>
      </c>
      <c r="G56" s="20" t="n">
        <f aca="false">D56*$H$2</f>
        <v>46412.9151784398</v>
      </c>
      <c r="H56" s="20" t="n">
        <f aca="false">D56+G56+E56-F56</f>
        <v>959757.571122152</v>
      </c>
    </row>
    <row r="57" customFormat="false" ht="15" hidden="false" customHeight="false" outlineLevel="0" collapsed="false">
      <c r="A57" s="4" t="n">
        <f aca="false">A56+1</f>
        <v>52</v>
      </c>
      <c r="B57" s="4" t="n">
        <f aca="false">Assumptions!$B$4+A57</f>
        <v>87</v>
      </c>
      <c r="C57" s="4" t="str">
        <f aca="false">IF(B57&lt;=Assumptions!$B$5,"Accumulation","Retirement")</f>
        <v>Retirement</v>
      </c>
      <c r="D57" s="20" t="n">
        <f aca="false">H56</f>
        <v>959757.571122152</v>
      </c>
      <c r="E57" s="20" t="n">
        <f aca="false">IF(B57&lt;=Assumptions!$B$5,Assumptions!$B$8*(1+Assumptions!$B$9)^(A57-1),0)</f>
        <v>0</v>
      </c>
      <c r="F57" s="20" t="n">
        <f aca="false">IF(B57&gt;Assumptions!$B$5,$H$3*(1+Assumptions!$B$10)^(B57-Assumptions!$B$5-1),0)</f>
        <v>91598.9473800992</v>
      </c>
      <c r="G57" s="20" t="n">
        <f aca="false">D57*$H$2</f>
        <v>44424.7785733166</v>
      </c>
      <c r="H57" s="20" t="n">
        <f aca="false">D57+G57+E57-F57</f>
        <v>912583.40231537</v>
      </c>
    </row>
    <row r="58" customFormat="false" ht="15" hidden="false" customHeight="false" outlineLevel="0" collapsed="false">
      <c r="A58" s="4" t="n">
        <f aca="false">A57+1</f>
        <v>53</v>
      </c>
      <c r="B58" s="4" t="n">
        <f aca="false">Assumptions!$B$4+A58</f>
        <v>88</v>
      </c>
      <c r="C58" s="4" t="str">
        <f aca="false">IF(B58&lt;=Assumptions!$B$5,"Accumulation","Retirement")</f>
        <v>Retirement</v>
      </c>
      <c r="D58" s="20" t="n">
        <f aca="false">H57</f>
        <v>912583.40231537</v>
      </c>
      <c r="E58" s="20" t="n">
        <f aca="false">IF(B58&lt;=Assumptions!$B$5,Assumptions!$B$8*(1+Assumptions!$B$9)^(A58-1),0)</f>
        <v>0</v>
      </c>
      <c r="F58" s="20" t="n">
        <f aca="false">IF(B58&gt;Assumptions!$B$5,$H$3*(1+Assumptions!$B$10)^(B58-Assumptions!$B$5-1),0)</f>
        <v>93888.9210646017</v>
      </c>
      <c r="G58" s="20" t="n">
        <f aca="false">D58*$H$2</f>
        <v>42241.2042346727</v>
      </c>
      <c r="H58" s="20" t="n">
        <f aca="false">D58+G58+E58-F58</f>
        <v>860935.68548544</v>
      </c>
    </row>
    <row r="59" customFormat="false" ht="15" hidden="false" customHeight="false" outlineLevel="0" collapsed="false">
      <c r="A59" s="4" t="n">
        <f aca="false">A58+1</f>
        <v>54</v>
      </c>
      <c r="B59" s="4" t="n">
        <f aca="false">Assumptions!$B$4+A59</f>
        <v>89</v>
      </c>
      <c r="C59" s="4" t="str">
        <f aca="false">IF(B59&lt;=Assumptions!$B$5,"Accumulation","Retirement")</f>
        <v>Retirement</v>
      </c>
      <c r="D59" s="20" t="n">
        <f aca="false">H58</f>
        <v>860935.68548544</v>
      </c>
      <c r="E59" s="20" t="n">
        <f aca="false">IF(B59&lt;=Assumptions!$B$5,Assumptions!$B$8*(1+Assumptions!$B$9)^(A59-1),0)</f>
        <v>0</v>
      </c>
      <c r="F59" s="20" t="n">
        <f aca="false">IF(B59&gt;Assumptions!$B$5,$H$3*(1+Assumptions!$B$10)^(B59-Assumptions!$B$5-1),0)</f>
        <v>96236.1440912167</v>
      </c>
      <c r="G59" s="20" t="n">
        <f aca="false">D59*$H$2</f>
        <v>39850.5605419073</v>
      </c>
      <c r="H59" s="20" t="n">
        <f aca="false">D59+G59+E59-F59</f>
        <v>804550.101936131</v>
      </c>
    </row>
    <row r="60" customFormat="false" ht="15" hidden="false" customHeight="false" outlineLevel="0" collapsed="false">
      <c r="A60" s="4" t="n">
        <f aca="false">A59+1</f>
        <v>55</v>
      </c>
      <c r="B60" s="4" t="n">
        <f aca="false">Assumptions!$B$4+A60</f>
        <v>90</v>
      </c>
      <c r="C60" s="4" t="str">
        <f aca="false">IF(B60&lt;=Assumptions!$B$5,"Accumulation","Retirement")</f>
        <v>Retirement</v>
      </c>
      <c r="D60" s="20" t="n">
        <f aca="false">H59</f>
        <v>804550.101936131</v>
      </c>
      <c r="E60" s="20" t="n">
        <f aca="false">IF(B60&lt;=Assumptions!$B$5,Assumptions!$B$8*(1+Assumptions!$B$9)^(A60-1),0)</f>
        <v>0</v>
      </c>
      <c r="F60" s="20" t="n">
        <f aca="false">IF(B60&gt;Assumptions!$B$5,$H$3*(1+Assumptions!$B$10)^(B60-Assumptions!$B$5-1),0)</f>
        <v>98642.0476934971</v>
      </c>
      <c r="G60" s="20" t="n">
        <f aca="false">D60*$H$2</f>
        <v>37240.6128433687</v>
      </c>
      <c r="H60" s="20" t="n">
        <f aca="false">D60+G60+E60-F60</f>
        <v>743148.667086003</v>
      </c>
    </row>
    <row r="61" customFormat="false" ht="15" hidden="false" customHeight="false" outlineLevel="0" collapsed="false">
      <c r="A61" s="4" t="n">
        <f aca="false">A60+1</f>
        <v>56</v>
      </c>
      <c r="B61" s="4" t="n">
        <f aca="false">Assumptions!$B$4+A61</f>
        <v>91</v>
      </c>
      <c r="C61" s="4" t="str">
        <f aca="false">IF(B61&lt;=Assumptions!$B$5,"Accumulation","Retirement")</f>
        <v>Retirement</v>
      </c>
      <c r="D61" s="20" t="n">
        <f aca="false">H60</f>
        <v>743148.667086003</v>
      </c>
      <c r="E61" s="20" t="n">
        <f aca="false">IF(B61&lt;=Assumptions!$B$5,Assumptions!$B$8*(1+Assumptions!$B$9)^(A61-1),0)</f>
        <v>0</v>
      </c>
      <c r="F61" s="20" t="n">
        <f aca="false">IF(B61&gt;Assumptions!$B$5,$H$3*(1+Assumptions!$B$10)^(B61-Assumptions!$B$5-1),0)</f>
        <v>101108.098885835</v>
      </c>
      <c r="G61" s="20" t="n">
        <f aca="false">D61*$H$2</f>
        <v>34398.4939277433</v>
      </c>
      <c r="H61" s="20" t="n">
        <f aca="false">D61+G61+E61-F61</f>
        <v>676439.062127911</v>
      </c>
    </row>
    <row r="62" customFormat="false" ht="15" hidden="false" customHeight="false" outlineLevel="0" collapsed="false">
      <c r="A62" s="4" t="n">
        <f aca="false">A61+1</f>
        <v>57</v>
      </c>
      <c r="B62" s="4" t="n">
        <f aca="false">Assumptions!$B$4+A62</f>
        <v>92</v>
      </c>
      <c r="C62" s="4" t="str">
        <f aca="false">IF(B62&lt;=Assumptions!$B$5,"Accumulation","Retirement")</f>
        <v>Retirement</v>
      </c>
      <c r="D62" s="20" t="n">
        <f aca="false">H61</f>
        <v>676439.062127911</v>
      </c>
      <c r="E62" s="20" t="n">
        <f aca="false">IF(B62&lt;=Assumptions!$B$5,Assumptions!$B$8*(1+Assumptions!$B$9)^(A62-1),0)</f>
        <v>0</v>
      </c>
      <c r="F62" s="20" t="n">
        <f aca="false">IF(B62&gt;Assumptions!$B$5,$H$3*(1+Assumptions!$B$10)^(B62-Assumptions!$B$5-1),0)</f>
        <v>103635.80135798</v>
      </c>
      <c r="G62" s="20" t="n">
        <f aca="false">D62*$H$2</f>
        <v>31310.6730882457</v>
      </c>
      <c r="H62" s="20" t="n">
        <f aca="false">D62+G62+E62-F62</f>
        <v>604113.933858177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7" min="3" style="0" width="20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3" t="s">
        <v>91</v>
      </c>
      <c r="B4" s="3" t="s">
        <v>3</v>
      </c>
      <c r="C4" s="3" t="s">
        <v>16</v>
      </c>
    </row>
    <row r="5" customFormat="false" ht="15" hidden="false" customHeight="false" outlineLevel="0" collapsed="false">
      <c r="A5" s="4" t="s">
        <v>92</v>
      </c>
      <c r="B5" s="9" t="n">
        <v>7500</v>
      </c>
      <c r="C5" s="2" t="s">
        <v>93</v>
      </c>
    </row>
    <row r="6" customFormat="false" ht="15" hidden="false" customHeight="false" outlineLevel="0" collapsed="false">
      <c r="A6" s="4" t="s">
        <v>94</v>
      </c>
      <c r="B6" s="10" t="n">
        <v>0.22</v>
      </c>
      <c r="C6" s="2" t="s">
        <v>95</v>
      </c>
    </row>
    <row r="7" customFormat="false" ht="15" hidden="false" customHeight="false" outlineLevel="0" collapsed="false">
      <c r="A7" s="4" t="s">
        <v>96</v>
      </c>
      <c r="B7" s="12" t="n">
        <v>0.12</v>
      </c>
      <c r="C7" s="2" t="s">
        <v>97</v>
      </c>
    </row>
    <row r="8" customFormat="false" ht="15" hidden="false" customHeight="false" outlineLevel="0" collapsed="false">
      <c r="A8" s="4" t="s">
        <v>98</v>
      </c>
      <c r="B8" s="10" t="n">
        <v>0.15</v>
      </c>
      <c r="C8" s="2" t="s">
        <v>99</v>
      </c>
    </row>
    <row r="9" customFormat="false" ht="15" hidden="false" customHeight="false" outlineLevel="0" collapsed="false">
      <c r="A9" s="4" t="s">
        <v>100</v>
      </c>
      <c r="B9" s="10" t="n">
        <v>0.005</v>
      </c>
      <c r="C9" s="2" t="s">
        <v>101</v>
      </c>
    </row>
    <row r="10" customFormat="false" ht="15" hidden="false" customHeight="false" outlineLevel="0" collapsed="false">
      <c r="A10" s="4" t="s">
        <v>102</v>
      </c>
      <c r="B10" s="9" t="n">
        <v>75000</v>
      </c>
      <c r="C10" s="2" t="s">
        <v>103</v>
      </c>
    </row>
    <row r="11" customFormat="false" ht="15" hidden="false" customHeight="false" outlineLevel="0" collapsed="false">
      <c r="A11" s="4" t="s">
        <v>104</v>
      </c>
      <c r="B11" s="10" t="n">
        <v>0.5</v>
      </c>
      <c r="C11" s="2" t="s">
        <v>105</v>
      </c>
    </row>
    <row r="12" customFormat="false" ht="15" hidden="false" customHeight="false" outlineLevel="0" collapsed="false">
      <c r="A12" s="4" t="s">
        <v>106</v>
      </c>
      <c r="B12" s="10" t="n">
        <v>0.06</v>
      </c>
      <c r="C12" s="2" t="s">
        <v>107</v>
      </c>
    </row>
    <row r="14" customFormat="false" ht="15" hidden="false" customHeight="false" outlineLevel="0" collapsed="false">
      <c r="A14" s="3" t="s">
        <v>108</v>
      </c>
      <c r="B14" s="3" t="s">
        <v>3</v>
      </c>
      <c r="C14" s="3" t="s">
        <v>16</v>
      </c>
    </row>
    <row r="15" customFormat="false" ht="15" hidden="false" customHeight="false" outlineLevel="0" collapsed="false">
      <c r="A15" s="4" t="s">
        <v>109</v>
      </c>
      <c r="B15" s="24" t="n">
        <f aca="false">Assumptions!B5-Assumptions!B4</f>
        <v>30</v>
      </c>
      <c r="C15" s="2" t="s">
        <v>110</v>
      </c>
    </row>
    <row r="16" customFormat="false" ht="15" hidden="false" customHeight="false" outlineLevel="0" collapsed="false">
      <c r="A16" s="4" t="s">
        <v>111</v>
      </c>
      <c r="B16" s="23" t="n">
        <f aca="false">Projection!H2</f>
        <v>0.0462875</v>
      </c>
      <c r="C16" s="2" t="s">
        <v>112</v>
      </c>
    </row>
    <row r="17" customFormat="false" ht="15" hidden="false" customHeight="false" outlineLevel="0" collapsed="false">
      <c r="A17" s="4" t="s">
        <v>113</v>
      </c>
      <c r="B17" s="23" t="n">
        <f aca="false">Assumptions!B9</f>
        <v>0.03</v>
      </c>
      <c r="C17" s="2" t="s">
        <v>114</v>
      </c>
    </row>
    <row r="19" customFormat="false" ht="15" hidden="false" customHeight="false" outlineLevel="0" collapsed="false">
      <c r="A19" s="3" t="s">
        <v>115</v>
      </c>
      <c r="B19" s="3" t="s">
        <v>3</v>
      </c>
      <c r="C19" s="3" t="s">
        <v>16</v>
      </c>
    </row>
    <row r="20" customFormat="false" ht="15" hidden="false" customHeight="false" outlineLevel="0" collapsed="false">
      <c r="A20" s="4" t="s">
        <v>116</v>
      </c>
      <c r="B20" s="25" t="n">
        <f aca="false">IF(ABS(B16-B17)&lt;0.000001,B15*(1+B16)^(B15-1),((1+B16)^B15-(1+B17)^B15)/(B16-B17))</f>
        <v>89.5773347126353</v>
      </c>
      <c r="C20" s="2" t="s">
        <v>117</v>
      </c>
    </row>
    <row r="21" customFormat="false" ht="15" hidden="false" customHeight="false" outlineLevel="0" collapsed="false">
      <c r="A21" s="4" t="s">
        <v>118</v>
      </c>
      <c r="B21" s="25" t="n">
        <f aca="false">IF(ABS((B16-B9)-B17)&lt;0.000001,B15*(1+B16-B9)^(B15-1),((1+B16-B9)^B15-(1+B17)^B15)/((B16-B9)-B17))</f>
        <v>83.1699182312628</v>
      </c>
    </row>
    <row r="22" customFormat="false" ht="15" hidden="false" customHeight="false" outlineLevel="0" collapsed="false">
      <c r="A22" s="4" t="s">
        <v>119</v>
      </c>
      <c r="B22" s="25" t="n">
        <f aca="false">IF(B17=0,B15,((1+B17)^B15-1)/B17)</f>
        <v>47.5754157063221</v>
      </c>
    </row>
    <row r="23" customFormat="false" ht="15" hidden="false" customHeight="false" outlineLevel="0" collapsed="false">
      <c r="A23" s="4" t="s">
        <v>120</v>
      </c>
      <c r="B23" s="20" t="n">
        <f aca="false">B11*MIN(B5,B12*B10)</f>
        <v>2250</v>
      </c>
    </row>
    <row r="25" customFormat="false" ht="26.85" hidden="false" customHeight="false" outlineLevel="0" collapsed="false">
      <c r="A25" s="3" t="s">
        <v>121</v>
      </c>
      <c r="B25" s="3" t="s">
        <v>122</v>
      </c>
      <c r="C25" s="3" t="s">
        <v>123</v>
      </c>
      <c r="D25" s="3" t="s">
        <v>8</v>
      </c>
      <c r="E25" s="3" t="s">
        <v>124</v>
      </c>
      <c r="F25" s="3" t="s">
        <v>125</v>
      </c>
      <c r="G25" s="3" t="s">
        <v>126</v>
      </c>
    </row>
    <row r="26" customFormat="false" ht="15" hidden="false" customHeight="false" outlineLevel="0" collapsed="false">
      <c r="A26" s="13" t="s">
        <v>127</v>
      </c>
      <c r="B26" s="26" t="s">
        <v>128</v>
      </c>
      <c r="C26" s="20" t="n">
        <f aca="false">B5*(1-B6)</f>
        <v>5850</v>
      </c>
      <c r="D26" s="20" t="n">
        <f aca="false">C26*B21</f>
        <v>486544.021652887</v>
      </c>
      <c r="E26" s="20" t="n">
        <f aca="false">B8*(D26-C26*B22)</f>
        <v>31234.1759656355</v>
      </c>
      <c r="F26" s="20" t="n">
        <f aca="false">D26-E26</f>
        <v>455309.845687252</v>
      </c>
      <c r="G26" s="20" t="n">
        <f aca="false">F26-$F$26</f>
        <v>0</v>
      </c>
    </row>
    <row r="27" customFormat="false" ht="15" hidden="false" customHeight="false" outlineLevel="0" collapsed="false">
      <c r="A27" s="13" t="s">
        <v>129</v>
      </c>
      <c r="B27" s="26" t="s">
        <v>130</v>
      </c>
      <c r="C27" s="20" t="n">
        <f aca="false">B5</f>
        <v>7500</v>
      </c>
      <c r="D27" s="20" t="n">
        <f aca="false">C27*B20</f>
        <v>671830.010344765</v>
      </c>
      <c r="E27" s="20" t="n">
        <f aca="false">D27*B7</f>
        <v>80619.6012413718</v>
      </c>
      <c r="F27" s="20" t="n">
        <f aca="false">D27-E27</f>
        <v>591210.409103393</v>
      </c>
      <c r="G27" s="20" t="n">
        <f aca="false">F27-$F$26</f>
        <v>135900.563416141</v>
      </c>
    </row>
    <row r="28" customFormat="false" ht="15" hidden="false" customHeight="false" outlineLevel="0" collapsed="false">
      <c r="A28" s="13" t="s">
        <v>131</v>
      </c>
      <c r="B28" s="26" t="s">
        <v>132</v>
      </c>
      <c r="C28" s="20" t="n">
        <f aca="false">B5*(1-B6)</f>
        <v>5850</v>
      </c>
      <c r="D28" s="20" t="n">
        <f aca="false">C28*B20</f>
        <v>524027.408068917</v>
      </c>
      <c r="E28" s="20" t="n">
        <f aca="false">0</f>
        <v>0</v>
      </c>
      <c r="F28" s="20" t="n">
        <f aca="false">D28-E28</f>
        <v>524027.408068917</v>
      </c>
      <c r="G28" s="20" t="n">
        <f aca="false">F28-$F$26</f>
        <v>68717.5623816648</v>
      </c>
    </row>
    <row r="29" customFormat="false" ht="15" hidden="false" customHeight="false" outlineLevel="0" collapsed="false">
      <c r="A29" s="13" t="s">
        <v>133</v>
      </c>
      <c r="B29" s="26" t="s">
        <v>134</v>
      </c>
      <c r="C29" s="20" t="n">
        <f aca="false">B5+B23</f>
        <v>9750</v>
      </c>
      <c r="D29" s="20" t="n">
        <f aca="false">C29*B20</f>
        <v>873379.013448195</v>
      </c>
      <c r="E29" s="20" t="n">
        <f aca="false">D29*B7</f>
        <v>104805.481613783</v>
      </c>
      <c r="F29" s="20" t="n">
        <f aca="false">D29-E29</f>
        <v>768573.531834411</v>
      </c>
      <c r="G29" s="20" t="n">
        <f aca="false">F29-$F$26</f>
        <v>313263.686147159</v>
      </c>
    </row>
    <row r="31" customFormat="false" ht="15" hidden="false" customHeight="false" outlineLevel="0" collapsed="false">
      <c r="A31" s="13" t="s">
        <v>135</v>
      </c>
      <c r="B31" s="0" t="str">
        <f aca="false">INDEX(A26:A29,MATCH(MAX(F26:F29),F26:F29,0))</f>
        <v>401(k) with employer match</v>
      </c>
    </row>
    <row r="32" customFormat="false" ht="15" hidden="false" customHeight="false" outlineLevel="0" collapsed="false">
      <c r="A32" s="13" t="s">
        <v>136</v>
      </c>
      <c r="B32" s="0" t="str">
        <f aca="false">IF(F27&gt;F28,"Traditional IRA",IF(F28&gt;F27,"Roth IRA","Tie"))</f>
        <v>Traditional IRA</v>
      </c>
    </row>
    <row r="34" customFormat="false" ht="26.85" hidden="false" customHeight="false" outlineLevel="0" collapsed="false">
      <c r="A34" s="3" t="s">
        <v>137</v>
      </c>
      <c r="B34" s="3" t="s">
        <v>138</v>
      </c>
      <c r="C34" s="3" t="s">
        <v>139</v>
      </c>
      <c r="D34" s="3" t="s">
        <v>140</v>
      </c>
      <c r="E34" s="3" t="s">
        <v>141</v>
      </c>
    </row>
    <row r="35" customFormat="false" ht="15" hidden="false" customHeight="false" outlineLevel="0" collapsed="false">
      <c r="A35" s="10" t="n">
        <v>0.1</v>
      </c>
      <c r="B35" s="20" t="n">
        <f aca="false">$D$27*(1-A35)</f>
        <v>604647.009310289</v>
      </c>
      <c r="C35" s="20" t="n">
        <f aca="false">$F$28</f>
        <v>524027.408068917</v>
      </c>
      <c r="D35" s="4" t="str">
        <f aca="false">IF(B35&gt;C35+0.5,"Traditional",IF(C35&gt;B35+0.5,"Roth","Tie"))</f>
        <v>Traditional</v>
      </c>
      <c r="E35" s="20" t="n">
        <f aca="false">C35-B35</f>
        <v>-80619.6012413719</v>
      </c>
    </row>
    <row r="36" customFormat="false" ht="15" hidden="false" customHeight="false" outlineLevel="0" collapsed="false">
      <c r="A36" s="10" t="n">
        <v>0.12</v>
      </c>
      <c r="B36" s="20" t="n">
        <f aca="false">$D$27*(1-A36)</f>
        <v>591210.409103393</v>
      </c>
      <c r="C36" s="20" t="n">
        <f aca="false">$F$28</f>
        <v>524027.408068917</v>
      </c>
      <c r="D36" s="4" t="str">
        <f aca="false">IF(B36&gt;C36+0.5,"Traditional",IF(C36&gt;B36+0.5,"Roth","Tie"))</f>
        <v>Traditional</v>
      </c>
      <c r="E36" s="20" t="n">
        <f aca="false">C36-B36</f>
        <v>-67183.0010344765</v>
      </c>
    </row>
    <row r="37" customFormat="false" ht="15" hidden="false" customHeight="false" outlineLevel="0" collapsed="false">
      <c r="A37" s="10" t="n">
        <v>0.22</v>
      </c>
      <c r="B37" s="20" t="n">
        <f aca="false">$D$27*(1-A37)</f>
        <v>524027.408068917</v>
      </c>
      <c r="C37" s="20" t="n">
        <f aca="false">$F$28</f>
        <v>524027.408068917</v>
      </c>
      <c r="D37" s="4" t="str">
        <f aca="false">IF(B37&gt;C37+0.5,"Traditional",IF(C37&gt;B37+0.5,"Roth","Tie"))</f>
        <v>Tie</v>
      </c>
      <c r="E37" s="20" t="n">
        <f aca="false">C37-B37</f>
        <v>0</v>
      </c>
    </row>
    <row r="38" customFormat="false" ht="15" hidden="false" customHeight="false" outlineLevel="0" collapsed="false">
      <c r="A38" s="10" t="n">
        <v>0.24</v>
      </c>
      <c r="B38" s="20" t="n">
        <f aca="false">$D$27*(1-A38)</f>
        <v>510590.807862021</v>
      </c>
      <c r="C38" s="20" t="n">
        <f aca="false">$F$28</f>
        <v>524027.408068917</v>
      </c>
      <c r="D38" s="4" t="str">
        <f aca="false">IF(B38&gt;C38+0.5,"Traditional",IF(C38&gt;B38+0.5,"Roth","Tie"))</f>
        <v>Roth</v>
      </c>
      <c r="E38" s="20" t="n">
        <f aca="false">C38-B38</f>
        <v>13436.6002068953</v>
      </c>
    </row>
    <row r="39" customFormat="false" ht="15" hidden="false" customHeight="false" outlineLevel="0" collapsed="false">
      <c r="A39" s="10" t="n">
        <v>0.32</v>
      </c>
      <c r="B39" s="20" t="n">
        <f aca="false">$D$27*(1-A39)</f>
        <v>456844.40703444</v>
      </c>
      <c r="C39" s="20" t="n">
        <f aca="false">$F$28</f>
        <v>524027.408068917</v>
      </c>
      <c r="D39" s="4" t="str">
        <f aca="false">IF(B39&gt;C39+0.5,"Traditional",IF(C39&gt;B39+0.5,"Roth","Tie"))</f>
        <v>Roth</v>
      </c>
      <c r="E39" s="20" t="n">
        <f aca="false">C39-B39</f>
        <v>67183.0010344765</v>
      </c>
    </row>
    <row r="40" customFormat="false" ht="15" hidden="false" customHeight="false" outlineLevel="0" collapsed="false">
      <c r="A40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29" min="5" style="0" width="14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9.55" hidden="false" customHeight="false" outlineLevel="0" collapsed="false">
      <c r="A4" s="3" t="s">
        <v>145</v>
      </c>
      <c r="B4" s="3" t="s">
        <v>3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150</v>
      </c>
    </row>
    <row r="5" customFormat="false" ht="15" hidden="false" customHeight="false" outlineLevel="0" collapsed="false">
      <c r="A5" s="4" t="s">
        <v>151</v>
      </c>
      <c r="B5" s="9" t="n">
        <v>300000</v>
      </c>
      <c r="D5" s="13" t="s">
        <v>152</v>
      </c>
      <c r="E5" s="10" t="n">
        <v>0</v>
      </c>
      <c r="F5" s="18" t="n">
        <f aca="false">$B$8</f>
        <v>0.05</v>
      </c>
      <c r="G5" s="18" t="n">
        <f aca="false">$B$9</f>
        <v>0.02</v>
      </c>
      <c r="H5" s="10" t="n">
        <v>0</v>
      </c>
    </row>
    <row r="6" customFormat="false" ht="15" hidden="false" customHeight="false" outlineLevel="0" collapsed="false">
      <c r="A6" s="4" t="s">
        <v>153</v>
      </c>
      <c r="B6" s="27" t="n">
        <v>250</v>
      </c>
      <c r="D6" s="13" t="s">
        <v>154</v>
      </c>
      <c r="E6" s="10" t="n">
        <v>0.1</v>
      </c>
      <c r="F6" s="18" t="n">
        <f aca="false">$B$8</f>
        <v>0.05</v>
      </c>
      <c r="G6" s="18" t="n">
        <f aca="false">$B$9+0.005</f>
        <v>0.025</v>
      </c>
      <c r="H6" s="10" t="n">
        <v>0</v>
      </c>
    </row>
    <row r="7" customFormat="false" ht="15" hidden="false" customHeight="false" outlineLevel="0" collapsed="false">
      <c r="A7" s="4" t="s">
        <v>155</v>
      </c>
      <c r="B7" s="9" t="n">
        <v>150</v>
      </c>
      <c r="D7" s="13" t="s">
        <v>156</v>
      </c>
      <c r="E7" s="10" t="n">
        <v>0</v>
      </c>
      <c r="F7" s="18" t="n">
        <f aca="false">$B$8</f>
        <v>0.05</v>
      </c>
      <c r="G7" s="18" t="n">
        <f aca="false">$B$9</f>
        <v>0.02</v>
      </c>
      <c r="H7" s="10" t="n">
        <v>-0.1</v>
      </c>
    </row>
    <row r="8" customFormat="false" ht="15" hidden="false" customHeight="false" outlineLevel="0" collapsed="false">
      <c r="A8" s="4" t="s">
        <v>157</v>
      </c>
      <c r="B8" s="10" t="n">
        <v>0.05</v>
      </c>
      <c r="D8" s="13" t="s">
        <v>158</v>
      </c>
      <c r="E8" s="10" t="n">
        <v>0</v>
      </c>
      <c r="F8" s="10" t="n">
        <v>0.01</v>
      </c>
      <c r="G8" s="10" t="n">
        <v>0.04</v>
      </c>
      <c r="H8" s="10" t="n">
        <v>0</v>
      </c>
    </row>
    <row r="9" customFormat="false" ht="15" hidden="false" customHeight="false" outlineLevel="0" collapsed="false">
      <c r="A9" s="4" t="s">
        <v>159</v>
      </c>
      <c r="B9" s="10" t="n">
        <v>0.02</v>
      </c>
    </row>
    <row r="10" customFormat="false" ht="15" hidden="false" customHeight="false" outlineLevel="0" collapsed="false">
      <c r="A10" s="4" t="s">
        <v>160</v>
      </c>
      <c r="B10" s="10" t="n">
        <v>0.25</v>
      </c>
      <c r="D10" s="2" t="s">
        <v>161</v>
      </c>
    </row>
    <row r="11" customFormat="false" ht="15" hidden="false" customHeight="false" outlineLevel="0" collapsed="false">
      <c r="A11" s="4" t="s">
        <v>162</v>
      </c>
      <c r="B11" s="9" t="n">
        <v>45000</v>
      </c>
    </row>
    <row r="12" customFormat="false" ht="39.55" hidden="false" customHeight="false" outlineLevel="0" collapsed="false">
      <c r="A12" s="3" t="s">
        <v>146</v>
      </c>
      <c r="B12" s="3" t="s">
        <v>163</v>
      </c>
      <c r="C12" s="3" t="s">
        <v>164</v>
      </c>
      <c r="D12" s="3" t="s">
        <v>165</v>
      </c>
      <c r="E12" s="3" t="s">
        <v>166</v>
      </c>
      <c r="F12" s="3" t="s">
        <v>167</v>
      </c>
    </row>
    <row r="13" customFormat="false" ht="15" hidden="false" customHeight="false" outlineLevel="0" collapsed="false">
      <c r="A13" s="13" t="s">
        <v>152</v>
      </c>
      <c r="B13" s="28" t="n">
        <f aca="false">C44</f>
        <v>76229.7789922652</v>
      </c>
      <c r="C13" s="28" t="n">
        <f aca="false">E44</f>
        <v>12172.3342441989</v>
      </c>
      <c r="D13" s="28" t="n">
        <f aca="false">F44</f>
        <v>217291.809050827</v>
      </c>
      <c r="E13" s="29" t="str">
        <f aca="false">IF(MIN(G21:G44)=999,"Not within 24",MIN(G21:G44))</f>
        <v>Not within 24</v>
      </c>
      <c r="F13" s="29" t="n">
        <f aca="false">IF(MIN(H21:H44)=999,"Not within 24",MIN(H21:H44))</f>
        <v>16</v>
      </c>
    </row>
    <row r="14" customFormat="false" ht="15" hidden="false" customHeight="false" outlineLevel="0" collapsed="false">
      <c r="A14" s="13" t="s">
        <v>154</v>
      </c>
      <c r="B14" s="28" t="n">
        <f aca="false">J44</f>
        <v>74609.9454202821</v>
      </c>
      <c r="C14" s="28" t="n">
        <f aca="false">L44</f>
        <v>10957.4590652116</v>
      </c>
      <c r="D14" s="28" t="n">
        <f aca="false">M44</f>
        <v>245818.32167367</v>
      </c>
      <c r="E14" s="29" t="str">
        <f aca="false">IF(MIN(N21:N44)=999,"Not within 24",MIN(N21:N44))</f>
        <v>Not within 24</v>
      </c>
      <c r="F14" s="29" t="n">
        <f aca="false">IF(MIN(O21:O44)=999,"Not within 24",MIN(O21:O44))</f>
        <v>16</v>
      </c>
    </row>
    <row r="15" customFormat="false" ht="15" hidden="false" customHeight="false" outlineLevel="0" collapsed="false">
      <c r="A15" s="13" t="s">
        <v>156</v>
      </c>
      <c r="B15" s="28" t="n">
        <f aca="false">Q44</f>
        <v>76229.7789922652</v>
      </c>
      <c r="C15" s="28" t="n">
        <f aca="false">S44</f>
        <v>16672.3342441989</v>
      </c>
      <c r="D15" s="28" t="n">
        <f aca="false">T44</f>
        <v>325291.809050827</v>
      </c>
      <c r="E15" s="29" t="str">
        <f aca="false">IF(MIN(U21:U44)=999,"Not within 24",MIN(U21:U44))</f>
        <v>Not within 24</v>
      </c>
      <c r="F15" s="29" t="n">
        <f aca="false">IF(MIN(V21:V44)=999,"Not within 24",MIN(V21:V44))</f>
        <v>13</v>
      </c>
    </row>
    <row r="16" customFormat="false" ht="15" hidden="false" customHeight="false" outlineLevel="0" collapsed="false">
      <c r="A16" s="13" t="s">
        <v>158</v>
      </c>
      <c r="B16" s="28" t="n">
        <f aca="false">X44</f>
        <v>18053.1458216896</v>
      </c>
      <c r="C16" s="28" t="n">
        <f aca="false">Z44</f>
        <v>-31460.1406337328</v>
      </c>
      <c r="D16" s="28" t="n">
        <f aca="false">AA44</f>
        <v>-308413.786175974</v>
      </c>
      <c r="E16" s="29" t="n">
        <f aca="false">IF(MIN(AB21:AB44)=999,"Not within 24",MIN(AB21:AB44))</f>
        <v>14</v>
      </c>
      <c r="F16" s="29" t="str">
        <f aca="false">IF(MIN(AC21:AC44)=999,"Not within 24",MIN(AC21:AC44))</f>
        <v>Not within 24</v>
      </c>
    </row>
    <row r="18" customFormat="false" ht="15" hidden="false" customHeight="false" outlineLevel="0" collapsed="false">
      <c r="A18" s="2" t="s">
        <v>168</v>
      </c>
    </row>
    <row r="19" customFormat="false" ht="15" hidden="false" customHeight="false" outlineLevel="0" collapsed="false">
      <c r="A19" s="13" t="s">
        <v>169</v>
      </c>
      <c r="B19" s="13" t="s">
        <v>152</v>
      </c>
      <c r="I19" s="13" t="s">
        <v>154</v>
      </c>
      <c r="P19" s="13" t="s">
        <v>156</v>
      </c>
      <c r="W19" s="13" t="s">
        <v>158</v>
      </c>
    </row>
    <row r="20" customFormat="false" ht="26.85" hidden="false" customHeight="false" outlineLevel="0" collapsed="false">
      <c r="A20" s="30" t="s">
        <v>170</v>
      </c>
      <c r="B20" s="3" t="s">
        <v>171</v>
      </c>
      <c r="C20" s="3" t="s">
        <v>172</v>
      </c>
      <c r="D20" s="3" t="s">
        <v>173</v>
      </c>
      <c r="E20" s="3" t="s">
        <v>174</v>
      </c>
      <c r="F20" s="3" t="s">
        <v>175</v>
      </c>
      <c r="G20" s="3" t="s">
        <v>176</v>
      </c>
      <c r="H20" s="3" t="s">
        <v>177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175</v>
      </c>
      <c r="N20" s="3" t="s">
        <v>176</v>
      </c>
      <c r="O20" s="3" t="s">
        <v>177</v>
      </c>
      <c r="P20" s="3" t="s">
        <v>171</v>
      </c>
      <c r="Q20" s="3" t="s">
        <v>172</v>
      </c>
      <c r="R20" s="3" t="s">
        <v>173</v>
      </c>
      <c r="S20" s="3" t="s">
        <v>174</v>
      </c>
      <c r="T20" s="3" t="s">
        <v>175</v>
      </c>
      <c r="U20" s="3" t="s">
        <v>176</v>
      </c>
      <c r="V20" s="3" t="s">
        <v>177</v>
      </c>
      <c r="W20" s="3" t="s">
        <v>171</v>
      </c>
      <c r="X20" s="3" t="s">
        <v>172</v>
      </c>
      <c r="Y20" s="3" t="s">
        <v>173</v>
      </c>
      <c r="Z20" s="3" t="s">
        <v>174</v>
      </c>
      <c r="AA20" s="3" t="s">
        <v>175</v>
      </c>
      <c r="AB20" s="3" t="s">
        <v>176</v>
      </c>
      <c r="AC20" s="3" t="s">
        <v>177</v>
      </c>
    </row>
    <row r="21" customFormat="false" ht="15" hidden="false" customHeight="false" outlineLevel="0" collapsed="false">
      <c r="A21" s="4" t="n">
        <v>1</v>
      </c>
      <c r="B21" s="31" t="n">
        <f aca="false">$B$6*(1+$F$5-$G$5)</f>
        <v>257.5</v>
      </c>
      <c r="C21" s="20" t="n">
        <f aca="false">B21*$B$7*(1+$E$5)</f>
        <v>38625</v>
      </c>
      <c r="D21" s="20" t="n">
        <f aca="false">C21*$B$10+$B$11*(1+$H$5)</f>
        <v>54656.25</v>
      </c>
      <c r="E21" s="20" t="n">
        <f aca="false">C21-D21</f>
        <v>-16031.25</v>
      </c>
      <c r="F21" s="20" t="n">
        <f aca="false">$B$5+E21</f>
        <v>283968.75</v>
      </c>
      <c r="G21" s="32" t="n">
        <f aca="false">IF(F21&lt;0,$A21,999)</f>
        <v>999</v>
      </c>
      <c r="H21" s="32" t="n">
        <f aca="false">IF(E21&gt;=0,$A21,999)</f>
        <v>999</v>
      </c>
      <c r="I21" s="31" t="n">
        <f aca="false">$B$6*(1+$F$6-$G$6)</f>
        <v>256.25</v>
      </c>
      <c r="J21" s="20" t="n">
        <f aca="false">I21*$B$7*(1+$E$6)</f>
        <v>42281.25</v>
      </c>
      <c r="K21" s="20" t="n">
        <f aca="false">J21*$B$10+$B$11*(1+$H$6)</f>
        <v>55570.3125</v>
      </c>
      <c r="L21" s="20" t="n">
        <f aca="false">J21-K21</f>
        <v>-13289.0625</v>
      </c>
      <c r="M21" s="20" t="n">
        <f aca="false">$B$5+L21</f>
        <v>286710.9375</v>
      </c>
      <c r="N21" s="32" t="n">
        <f aca="false">IF(M21&lt;0,$A21,999)</f>
        <v>999</v>
      </c>
      <c r="O21" s="32" t="n">
        <f aca="false">IF(L21&gt;=0,$A21,999)</f>
        <v>999</v>
      </c>
      <c r="P21" s="31" t="n">
        <f aca="false">$B$6*(1+$F$7-$G$7)</f>
        <v>257.5</v>
      </c>
      <c r="Q21" s="20" t="n">
        <f aca="false">P21*$B$7*(1+$E$7)</f>
        <v>38625</v>
      </c>
      <c r="R21" s="20" t="n">
        <f aca="false">Q21*$B$10+$B$11*(1+$H$7)</f>
        <v>50156.25</v>
      </c>
      <c r="S21" s="20" t="n">
        <f aca="false">Q21-R21</f>
        <v>-11531.25</v>
      </c>
      <c r="T21" s="20" t="n">
        <f aca="false">$B$5+S21</f>
        <v>288468.75</v>
      </c>
      <c r="U21" s="32" t="n">
        <f aca="false">IF(T21&lt;0,$A21,999)</f>
        <v>999</v>
      </c>
      <c r="V21" s="32" t="n">
        <f aca="false">IF(S21&gt;=0,$A21,999)</f>
        <v>999</v>
      </c>
      <c r="W21" s="31" t="n">
        <f aca="false">$B$6*(1+$F$8-$G$8)</f>
        <v>242.5</v>
      </c>
      <c r="X21" s="20" t="n">
        <f aca="false">W21*$B$7*(1+$E$8)</f>
        <v>36375</v>
      </c>
      <c r="Y21" s="20" t="n">
        <f aca="false">X21*$B$10+$B$11*(1+$H$8)</f>
        <v>54093.75</v>
      </c>
      <c r="Z21" s="20" t="n">
        <f aca="false">X21-Y21</f>
        <v>-17718.75</v>
      </c>
      <c r="AA21" s="20" t="n">
        <f aca="false">$B$5+Z21</f>
        <v>282281.25</v>
      </c>
      <c r="AB21" s="32" t="n">
        <f aca="false">IF(AA21&lt;0,$A21,999)</f>
        <v>999</v>
      </c>
      <c r="AC21" s="32" t="n">
        <f aca="false">IF(Z21&gt;=0,$A21,999)</f>
        <v>999</v>
      </c>
    </row>
    <row r="22" customFormat="false" ht="15" hidden="false" customHeight="false" outlineLevel="0" collapsed="false">
      <c r="A22" s="4" t="n">
        <v>2</v>
      </c>
      <c r="B22" s="31" t="n">
        <f aca="false">B21*(1+$F$5-$G$5)</f>
        <v>265.225</v>
      </c>
      <c r="C22" s="20" t="n">
        <f aca="false">B22*$B$7*(1+$E$5)</f>
        <v>39783.75</v>
      </c>
      <c r="D22" s="20" t="n">
        <f aca="false">C22*$B$10+$B$11*(1+$H$5)</f>
        <v>54945.9375</v>
      </c>
      <c r="E22" s="20" t="n">
        <f aca="false">C22-D22</f>
        <v>-15162.1875</v>
      </c>
      <c r="F22" s="20" t="n">
        <f aca="false">F21+E22</f>
        <v>268806.5625</v>
      </c>
      <c r="G22" s="32" t="n">
        <f aca="false">IF(F22&lt;0,$A22,999)</f>
        <v>999</v>
      </c>
      <c r="H22" s="32" t="n">
        <f aca="false">IF(E22&gt;=0,$A22,999)</f>
        <v>999</v>
      </c>
      <c r="I22" s="31" t="n">
        <f aca="false">I21*(1+$F$6-$G$6)</f>
        <v>262.65625</v>
      </c>
      <c r="J22" s="20" t="n">
        <f aca="false">I22*$B$7*(1+$E$6)</f>
        <v>43338.28125</v>
      </c>
      <c r="K22" s="20" t="n">
        <f aca="false">J22*$B$10+$B$11*(1+$H$6)</f>
        <v>55834.5703125</v>
      </c>
      <c r="L22" s="20" t="n">
        <f aca="false">J22-K22</f>
        <v>-12496.2890625</v>
      </c>
      <c r="M22" s="20" t="n">
        <f aca="false">M21+L22</f>
        <v>274214.6484375</v>
      </c>
      <c r="N22" s="32" t="n">
        <f aca="false">IF(M22&lt;0,$A22,999)</f>
        <v>999</v>
      </c>
      <c r="O22" s="32" t="n">
        <f aca="false">IF(L22&gt;=0,$A22,999)</f>
        <v>999</v>
      </c>
      <c r="P22" s="31" t="n">
        <f aca="false">P21*(1+$F$7-$G$7)</f>
        <v>265.225</v>
      </c>
      <c r="Q22" s="20" t="n">
        <f aca="false">P22*$B$7*(1+$E$7)</f>
        <v>39783.75</v>
      </c>
      <c r="R22" s="20" t="n">
        <f aca="false">Q22*$B$10+$B$11*(1+$H$7)</f>
        <v>50445.9375</v>
      </c>
      <c r="S22" s="20" t="n">
        <f aca="false">Q22-R22</f>
        <v>-10662.1875</v>
      </c>
      <c r="T22" s="20" t="n">
        <f aca="false">T21+S22</f>
        <v>277806.5625</v>
      </c>
      <c r="U22" s="32" t="n">
        <f aca="false">IF(T22&lt;0,$A22,999)</f>
        <v>999</v>
      </c>
      <c r="V22" s="32" t="n">
        <f aca="false">IF(S22&gt;=0,$A22,999)</f>
        <v>999</v>
      </c>
      <c r="W22" s="31" t="n">
        <f aca="false">W21*(1+$F$8-$G$8)</f>
        <v>235.225</v>
      </c>
      <c r="X22" s="20" t="n">
        <f aca="false">W22*$B$7*(1+$E$8)</f>
        <v>35283.75</v>
      </c>
      <c r="Y22" s="20" t="n">
        <f aca="false">X22*$B$10+$B$11*(1+$H$8)</f>
        <v>53820.9375</v>
      </c>
      <c r="Z22" s="20" t="n">
        <f aca="false">X22-Y22</f>
        <v>-18537.1875</v>
      </c>
      <c r="AA22" s="20" t="n">
        <f aca="false">AA21+Z22</f>
        <v>263744.0625</v>
      </c>
      <c r="AB22" s="32" t="n">
        <f aca="false">IF(AA22&lt;0,$A22,999)</f>
        <v>999</v>
      </c>
      <c r="AC22" s="32" t="n">
        <f aca="false">IF(Z22&gt;=0,$A22,999)</f>
        <v>999</v>
      </c>
    </row>
    <row r="23" customFormat="false" ht="15" hidden="false" customHeight="false" outlineLevel="0" collapsed="false">
      <c r="A23" s="4" t="n">
        <v>3</v>
      </c>
      <c r="B23" s="31" t="n">
        <f aca="false">B22*(1+$F$5-$G$5)</f>
        <v>273.18175</v>
      </c>
      <c r="C23" s="20" t="n">
        <f aca="false">B23*$B$7*(1+$E$5)</f>
        <v>40977.2625</v>
      </c>
      <c r="D23" s="20" t="n">
        <f aca="false">C23*$B$10+$B$11*(1+$H$5)</f>
        <v>55244.315625</v>
      </c>
      <c r="E23" s="20" t="n">
        <f aca="false">C23-D23</f>
        <v>-14267.053125</v>
      </c>
      <c r="F23" s="20" t="n">
        <f aca="false">F22+E23</f>
        <v>254539.509375</v>
      </c>
      <c r="G23" s="32" t="n">
        <f aca="false">IF(F23&lt;0,$A23,999)</f>
        <v>999</v>
      </c>
      <c r="H23" s="32" t="n">
        <f aca="false">IF(E23&gt;=0,$A23,999)</f>
        <v>999</v>
      </c>
      <c r="I23" s="31" t="n">
        <f aca="false">I22*(1+$F$6-$G$6)</f>
        <v>269.22265625</v>
      </c>
      <c r="J23" s="20" t="n">
        <f aca="false">I23*$B$7*(1+$E$6)</f>
        <v>44421.73828125</v>
      </c>
      <c r="K23" s="20" t="n">
        <f aca="false">J23*$B$10+$B$11*(1+$H$6)</f>
        <v>56105.4345703125</v>
      </c>
      <c r="L23" s="20" t="n">
        <f aca="false">J23-K23</f>
        <v>-11683.6962890625</v>
      </c>
      <c r="M23" s="20" t="n">
        <f aca="false">M22+L23</f>
        <v>262530.952148438</v>
      </c>
      <c r="N23" s="32" t="n">
        <f aca="false">IF(M23&lt;0,$A23,999)</f>
        <v>999</v>
      </c>
      <c r="O23" s="32" t="n">
        <f aca="false">IF(L23&gt;=0,$A23,999)</f>
        <v>999</v>
      </c>
      <c r="P23" s="31" t="n">
        <f aca="false">P22*(1+$F$7-$G$7)</f>
        <v>273.18175</v>
      </c>
      <c r="Q23" s="20" t="n">
        <f aca="false">P23*$B$7*(1+$E$7)</f>
        <v>40977.2625</v>
      </c>
      <c r="R23" s="20" t="n">
        <f aca="false">Q23*$B$10+$B$11*(1+$H$7)</f>
        <v>50744.315625</v>
      </c>
      <c r="S23" s="20" t="n">
        <f aca="false">Q23-R23</f>
        <v>-9767.053125</v>
      </c>
      <c r="T23" s="20" t="n">
        <f aca="false">T22+S23</f>
        <v>268039.509375</v>
      </c>
      <c r="U23" s="32" t="n">
        <f aca="false">IF(T23&lt;0,$A23,999)</f>
        <v>999</v>
      </c>
      <c r="V23" s="32" t="n">
        <f aca="false">IF(S23&gt;=0,$A23,999)</f>
        <v>999</v>
      </c>
      <c r="W23" s="31" t="n">
        <f aca="false">W22*(1+$F$8-$G$8)</f>
        <v>228.16825</v>
      </c>
      <c r="X23" s="20" t="n">
        <f aca="false">W23*$B$7*(1+$E$8)</f>
        <v>34225.2375</v>
      </c>
      <c r="Y23" s="20" t="n">
        <f aca="false">X23*$B$10+$B$11*(1+$H$8)</f>
        <v>53556.309375</v>
      </c>
      <c r="Z23" s="20" t="n">
        <f aca="false">X23-Y23</f>
        <v>-19331.071875</v>
      </c>
      <c r="AA23" s="20" t="n">
        <f aca="false">AA22+Z23</f>
        <v>244412.990625</v>
      </c>
      <c r="AB23" s="32" t="n">
        <f aca="false">IF(AA23&lt;0,$A23,999)</f>
        <v>999</v>
      </c>
      <c r="AC23" s="32" t="n">
        <f aca="false">IF(Z23&gt;=0,$A23,999)</f>
        <v>999</v>
      </c>
    </row>
    <row r="24" customFormat="false" ht="15" hidden="false" customHeight="false" outlineLevel="0" collapsed="false">
      <c r="A24" s="4" t="n">
        <v>4</v>
      </c>
      <c r="B24" s="31" t="n">
        <f aca="false">B23*(1+$F$5-$G$5)</f>
        <v>281.3772025</v>
      </c>
      <c r="C24" s="20" t="n">
        <f aca="false">B24*$B$7*(1+$E$5)</f>
        <v>42206.580375</v>
      </c>
      <c r="D24" s="20" t="n">
        <f aca="false">C24*$B$10+$B$11*(1+$H$5)</f>
        <v>55551.64509375</v>
      </c>
      <c r="E24" s="20" t="n">
        <f aca="false">C24-D24</f>
        <v>-13345.06471875</v>
      </c>
      <c r="F24" s="20" t="n">
        <f aca="false">F23+E24</f>
        <v>241194.44465625</v>
      </c>
      <c r="G24" s="32" t="n">
        <f aca="false">IF(F24&lt;0,$A24,999)</f>
        <v>999</v>
      </c>
      <c r="H24" s="32" t="n">
        <f aca="false">IF(E24&gt;=0,$A24,999)</f>
        <v>999</v>
      </c>
      <c r="I24" s="31" t="n">
        <f aca="false">I23*(1+$F$6-$G$6)</f>
        <v>275.95322265625</v>
      </c>
      <c r="J24" s="20" t="n">
        <f aca="false">I24*$B$7*(1+$E$6)</f>
        <v>45532.2817382813</v>
      </c>
      <c r="K24" s="20" t="n">
        <f aca="false">J24*$B$10+$B$11*(1+$H$6)</f>
        <v>56383.0704345703</v>
      </c>
      <c r="L24" s="20" t="n">
        <f aca="false">J24-K24</f>
        <v>-10850.788696289</v>
      </c>
      <c r="M24" s="20" t="n">
        <f aca="false">M23+L24</f>
        <v>251680.163452148</v>
      </c>
      <c r="N24" s="32" t="n">
        <f aca="false">IF(M24&lt;0,$A24,999)</f>
        <v>999</v>
      </c>
      <c r="O24" s="32" t="n">
        <f aca="false">IF(L24&gt;=0,$A24,999)</f>
        <v>999</v>
      </c>
      <c r="P24" s="31" t="n">
        <f aca="false">P23*(1+$F$7-$G$7)</f>
        <v>281.3772025</v>
      </c>
      <c r="Q24" s="20" t="n">
        <f aca="false">P24*$B$7*(1+$E$7)</f>
        <v>42206.580375</v>
      </c>
      <c r="R24" s="20" t="n">
        <f aca="false">Q24*$B$10+$B$11*(1+$H$7)</f>
        <v>51051.64509375</v>
      </c>
      <c r="S24" s="20" t="n">
        <f aca="false">Q24-R24</f>
        <v>-8845.06471875</v>
      </c>
      <c r="T24" s="20" t="n">
        <f aca="false">T23+S24</f>
        <v>259194.44465625</v>
      </c>
      <c r="U24" s="32" t="n">
        <f aca="false">IF(T24&lt;0,$A24,999)</f>
        <v>999</v>
      </c>
      <c r="V24" s="32" t="n">
        <f aca="false">IF(S24&gt;=0,$A24,999)</f>
        <v>999</v>
      </c>
      <c r="W24" s="31" t="n">
        <f aca="false">W23*(1+$F$8-$G$8)</f>
        <v>221.3232025</v>
      </c>
      <c r="X24" s="20" t="n">
        <f aca="false">W24*$B$7*(1+$E$8)</f>
        <v>33198.480375</v>
      </c>
      <c r="Y24" s="20" t="n">
        <f aca="false">X24*$B$10+$B$11*(1+$H$8)</f>
        <v>53299.62009375</v>
      </c>
      <c r="Z24" s="20" t="n">
        <f aca="false">X24-Y24</f>
        <v>-20101.13971875</v>
      </c>
      <c r="AA24" s="20" t="n">
        <f aca="false">AA23+Z24</f>
        <v>224311.85090625</v>
      </c>
      <c r="AB24" s="32" t="n">
        <f aca="false">IF(AA24&lt;0,$A24,999)</f>
        <v>999</v>
      </c>
      <c r="AC24" s="32" t="n">
        <f aca="false">IF(Z24&gt;=0,$A24,999)</f>
        <v>999</v>
      </c>
    </row>
    <row r="25" customFormat="false" ht="15" hidden="false" customHeight="false" outlineLevel="0" collapsed="false">
      <c r="A25" s="4" t="n">
        <v>5</v>
      </c>
      <c r="B25" s="31" t="n">
        <f aca="false">B24*(1+$F$5-$G$5)</f>
        <v>289.818518575</v>
      </c>
      <c r="C25" s="20" t="n">
        <f aca="false">B25*$B$7*(1+$E$5)</f>
        <v>43472.77778625</v>
      </c>
      <c r="D25" s="20" t="n">
        <f aca="false">C25*$B$10+$B$11*(1+$H$5)</f>
        <v>55868.1944465625</v>
      </c>
      <c r="E25" s="20" t="n">
        <f aca="false">C25-D25</f>
        <v>-12395.4166603125</v>
      </c>
      <c r="F25" s="20" t="n">
        <f aca="false">F24+E25</f>
        <v>228799.027995938</v>
      </c>
      <c r="G25" s="32" t="n">
        <f aca="false">IF(F25&lt;0,$A25,999)</f>
        <v>999</v>
      </c>
      <c r="H25" s="32" t="n">
        <f aca="false">IF(E25&gt;=0,$A25,999)</f>
        <v>999</v>
      </c>
      <c r="I25" s="31" t="n">
        <f aca="false">I24*(1+$F$6-$G$6)</f>
        <v>282.852053222657</v>
      </c>
      <c r="J25" s="20" t="n">
        <f aca="false">I25*$B$7*(1+$E$6)</f>
        <v>46670.5887817383</v>
      </c>
      <c r="K25" s="20" t="n">
        <f aca="false">J25*$B$10+$B$11*(1+$H$6)</f>
        <v>56667.6471954346</v>
      </c>
      <c r="L25" s="20" t="n">
        <f aca="false">J25-K25</f>
        <v>-9997.05841369626</v>
      </c>
      <c r="M25" s="20" t="n">
        <f aca="false">M24+L25</f>
        <v>241683.105038452</v>
      </c>
      <c r="N25" s="32" t="n">
        <f aca="false">IF(M25&lt;0,$A25,999)</f>
        <v>999</v>
      </c>
      <c r="O25" s="32" t="n">
        <f aca="false">IF(L25&gt;=0,$A25,999)</f>
        <v>999</v>
      </c>
      <c r="P25" s="31" t="n">
        <f aca="false">P24*(1+$F$7-$G$7)</f>
        <v>289.818518575</v>
      </c>
      <c r="Q25" s="20" t="n">
        <f aca="false">P25*$B$7*(1+$E$7)</f>
        <v>43472.77778625</v>
      </c>
      <c r="R25" s="20" t="n">
        <f aca="false">Q25*$B$10+$B$11*(1+$H$7)</f>
        <v>51368.1944465625</v>
      </c>
      <c r="S25" s="20" t="n">
        <f aca="false">Q25-R25</f>
        <v>-7895.41666031249</v>
      </c>
      <c r="T25" s="20" t="n">
        <f aca="false">T24+S25</f>
        <v>251299.027995938</v>
      </c>
      <c r="U25" s="32" t="n">
        <f aca="false">IF(T25&lt;0,$A25,999)</f>
        <v>999</v>
      </c>
      <c r="V25" s="32" t="n">
        <f aca="false">IF(S25&gt;=0,$A25,999)</f>
        <v>999</v>
      </c>
      <c r="W25" s="31" t="n">
        <f aca="false">W24*(1+$F$8-$G$8)</f>
        <v>214.683506425</v>
      </c>
      <c r="X25" s="20" t="n">
        <f aca="false">W25*$B$7*(1+$E$8)</f>
        <v>32202.52596375</v>
      </c>
      <c r="Y25" s="20" t="n">
        <f aca="false">X25*$B$10+$B$11*(1+$H$8)</f>
        <v>53050.6314909375</v>
      </c>
      <c r="Z25" s="20" t="n">
        <f aca="false">X25-Y25</f>
        <v>-20848.1055271875</v>
      </c>
      <c r="AA25" s="20" t="n">
        <f aca="false">AA24+Z25</f>
        <v>203463.745379063</v>
      </c>
      <c r="AB25" s="32" t="n">
        <f aca="false">IF(AA25&lt;0,$A25,999)</f>
        <v>999</v>
      </c>
      <c r="AC25" s="32" t="n">
        <f aca="false">IF(Z25&gt;=0,$A25,999)</f>
        <v>999</v>
      </c>
    </row>
    <row r="26" customFormat="false" ht="15" hidden="false" customHeight="false" outlineLevel="0" collapsed="false">
      <c r="A26" s="4" t="n">
        <v>6</v>
      </c>
      <c r="B26" s="31" t="n">
        <f aca="false">B25*(1+$F$5-$G$5)</f>
        <v>298.51307413225</v>
      </c>
      <c r="C26" s="20" t="n">
        <f aca="false">B26*$B$7*(1+$E$5)</f>
        <v>44776.9611198375</v>
      </c>
      <c r="D26" s="20" t="n">
        <f aca="false">C26*$B$10+$B$11*(1+$H$5)</f>
        <v>56194.2402799594</v>
      </c>
      <c r="E26" s="20" t="n">
        <f aca="false">C26-D26</f>
        <v>-11417.2791601219</v>
      </c>
      <c r="F26" s="20" t="n">
        <f aca="false">F25+E26</f>
        <v>217381.748835816</v>
      </c>
      <c r="G26" s="32" t="n">
        <f aca="false">IF(F26&lt;0,$A26,999)</f>
        <v>999</v>
      </c>
      <c r="H26" s="32" t="n">
        <f aca="false">IF(E26&gt;=0,$A26,999)</f>
        <v>999</v>
      </c>
      <c r="I26" s="31" t="n">
        <f aca="false">I25*(1+$F$6-$G$6)</f>
        <v>289.923354553223</v>
      </c>
      <c r="J26" s="20" t="n">
        <f aca="false">I26*$B$7*(1+$E$6)</f>
        <v>47837.3535012818</v>
      </c>
      <c r="K26" s="20" t="n">
        <f aca="false">J26*$B$10+$B$11*(1+$H$6)</f>
        <v>56959.3383753205</v>
      </c>
      <c r="L26" s="20" t="n">
        <f aca="false">J26-K26</f>
        <v>-9121.98487403867</v>
      </c>
      <c r="M26" s="20" t="n">
        <f aca="false">M25+L26</f>
        <v>232561.120164414</v>
      </c>
      <c r="N26" s="32" t="n">
        <f aca="false">IF(M26&lt;0,$A26,999)</f>
        <v>999</v>
      </c>
      <c r="O26" s="32" t="n">
        <f aca="false">IF(L26&gt;=0,$A26,999)</f>
        <v>999</v>
      </c>
      <c r="P26" s="31" t="n">
        <f aca="false">P25*(1+$F$7-$G$7)</f>
        <v>298.51307413225</v>
      </c>
      <c r="Q26" s="20" t="n">
        <f aca="false">P26*$B$7*(1+$E$7)</f>
        <v>44776.9611198375</v>
      </c>
      <c r="R26" s="20" t="n">
        <f aca="false">Q26*$B$10+$B$11*(1+$H$7)</f>
        <v>51694.2402799594</v>
      </c>
      <c r="S26" s="20" t="n">
        <f aca="false">Q26-R26</f>
        <v>-6917.27916012187</v>
      </c>
      <c r="T26" s="20" t="n">
        <f aca="false">T25+S26</f>
        <v>244381.748835816</v>
      </c>
      <c r="U26" s="32" t="n">
        <f aca="false">IF(T26&lt;0,$A26,999)</f>
        <v>999</v>
      </c>
      <c r="V26" s="32" t="n">
        <f aca="false">IF(S26&gt;=0,$A26,999)</f>
        <v>999</v>
      </c>
      <c r="W26" s="31" t="n">
        <f aca="false">W25*(1+$F$8-$G$8)</f>
        <v>208.24300123225</v>
      </c>
      <c r="X26" s="20" t="n">
        <f aca="false">W26*$B$7*(1+$E$8)</f>
        <v>31236.4501848375</v>
      </c>
      <c r="Y26" s="20" t="n">
        <f aca="false">X26*$B$10+$B$11*(1+$H$8)</f>
        <v>52809.1125462094</v>
      </c>
      <c r="Z26" s="20" t="n">
        <f aca="false">X26-Y26</f>
        <v>-21572.6623613719</v>
      </c>
      <c r="AA26" s="20" t="n">
        <f aca="false">AA25+Z26</f>
        <v>181891.083017691</v>
      </c>
      <c r="AB26" s="32" t="n">
        <f aca="false">IF(AA26&lt;0,$A26,999)</f>
        <v>999</v>
      </c>
      <c r="AC26" s="32" t="n">
        <f aca="false">IF(Z26&gt;=0,$A26,999)</f>
        <v>999</v>
      </c>
    </row>
    <row r="27" customFormat="false" ht="15" hidden="false" customHeight="false" outlineLevel="0" collapsed="false">
      <c r="A27" s="4" t="n">
        <v>7</v>
      </c>
      <c r="B27" s="31" t="n">
        <f aca="false">B26*(1+$F$5-$G$5)</f>
        <v>307.468466356218</v>
      </c>
      <c r="C27" s="20" t="n">
        <f aca="false">B27*$B$7*(1+$E$5)</f>
        <v>46120.2699534326</v>
      </c>
      <c r="D27" s="20" t="n">
        <f aca="false">C27*$B$10+$B$11*(1+$H$5)</f>
        <v>56530.0674883582</v>
      </c>
      <c r="E27" s="20" t="n">
        <f aca="false">C27-D27</f>
        <v>-10409.7975349255</v>
      </c>
      <c r="F27" s="20" t="n">
        <f aca="false">F26+E27</f>
        <v>206971.95130089</v>
      </c>
      <c r="G27" s="32" t="n">
        <f aca="false">IF(F27&lt;0,$A27,999)</f>
        <v>999</v>
      </c>
      <c r="H27" s="32" t="n">
        <f aca="false">IF(E27&gt;=0,$A27,999)</f>
        <v>999</v>
      </c>
      <c r="I27" s="31" t="n">
        <f aca="false">I26*(1+$F$6-$G$6)</f>
        <v>297.171438417054</v>
      </c>
      <c r="J27" s="20" t="n">
        <f aca="false">I27*$B$7*(1+$E$6)</f>
        <v>49033.2873388138</v>
      </c>
      <c r="K27" s="20" t="n">
        <f aca="false">J27*$B$10+$B$11*(1+$H$6)</f>
        <v>57258.3218347035</v>
      </c>
      <c r="L27" s="20" t="n">
        <f aca="false">J27-K27</f>
        <v>-8225.03449588962</v>
      </c>
      <c r="M27" s="20" t="n">
        <f aca="false">M26+L27</f>
        <v>224336.085668524</v>
      </c>
      <c r="N27" s="32" t="n">
        <f aca="false">IF(M27&lt;0,$A27,999)</f>
        <v>999</v>
      </c>
      <c r="O27" s="32" t="n">
        <f aca="false">IF(L27&gt;=0,$A27,999)</f>
        <v>999</v>
      </c>
      <c r="P27" s="31" t="n">
        <f aca="false">P26*(1+$F$7-$G$7)</f>
        <v>307.468466356218</v>
      </c>
      <c r="Q27" s="20" t="n">
        <f aca="false">P27*$B$7*(1+$E$7)</f>
        <v>46120.2699534326</v>
      </c>
      <c r="R27" s="20" t="n">
        <f aca="false">Q27*$B$10+$B$11*(1+$H$7)</f>
        <v>52030.0674883582</v>
      </c>
      <c r="S27" s="20" t="n">
        <f aca="false">Q27-R27</f>
        <v>-5909.79753492553</v>
      </c>
      <c r="T27" s="20" t="n">
        <f aca="false">T26+S27</f>
        <v>238471.95130089</v>
      </c>
      <c r="U27" s="32" t="n">
        <f aca="false">IF(T27&lt;0,$A27,999)</f>
        <v>999</v>
      </c>
      <c r="V27" s="32" t="n">
        <f aca="false">IF(S27&gt;=0,$A27,999)</f>
        <v>999</v>
      </c>
      <c r="W27" s="31" t="n">
        <f aca="false">W26*(1+$F$8-$G$8)</f>
        <v>201.995711195282</v>
      </c>
      <c r="X27" s="20" t="n">
        <f aca="false">W27*$B$7*(1+$E$8)</f>
        <v>30299.3566792924</v>
      </c>
      <c r="Y27" s="20" t="n">
        <f aca="false">X27*$B$10+$B$11*(1+$H$8)</f>
        <v>52574.8391698231</v>
      </c>
      <c r="Z27" s="20" t="n">
        <f aca="false">X27-Y27</f>
        <v>-22275.4824905307</v>
      </c>
      <c r="AA27" s="20" t="n">
        <f aca="false">AA26+Z27</f>
        <v>159615.60052716</v>
      </c>
      <c r="AB27" s="32" t="n">
        <f aca="false">IF(AA27&lt;0,$A27,999)</f>
        <v>999</v>
      </c>
      <c r="AC27" s="32" t="n">
        <f aca="false">IF(Z27&gt;=0,$A27,999)</f>
        <v>999</v>
      </c>
    </row>
    <row r="28" customFormat="false" ht="15" hidden="false" customHeight="false" outlineLevel="0" collapsed="false">
      <c r="A28" s="4" t="n">
        <v>8</v>
      </c>
      <c r="B28" s="31" t="n">
        <f aca="false">B27*(1+$F$5-$G$5)</f>
        <v>316.692520346904</v>
      </c>
      <c r="C28" s="20" t="n">
        <f aca="false">B28*$B$7*(1+$E$5)</f>
        <v>47503.8780520356</v>
      </c>
      <c r="D28" s="20" t="n">
        <f aca="false">C28*$B$10+$B$11*(1+$H$5)</f>
        <v>56875.9695130089</v>
      </c>
      <c r="E28" s="20" t="n">
        <f aca="false">C28-D28</f>
        <v>-9372.09146097329</v>
      </c>
      <c r="F28" s="20" t="n">
        <f aca="false">F27+E28</f>
        <v>197599.859839917</v>
      </c>
      <c r="G28" s="32" t="n">
        <f aca="false">IF(F28&lt;0,$A28,999)</f>
        <v>999</v>
      </c>
      <c r="H28" s="32" t="n">
        <f aca="false">IF(E28&gt;=0,$A28,999)</f>
        <v>999</v>
      </c>
      <c r="I28" s="31" t="n">
        <f aca="false">I27*(1+$F$6-$G$6)</f>
        <v>304.60072437748</v>
      </c>
      <c r="J28" s="20" t="n">
        <f aca="false">I28*$B$7*(1+$E$6)</f>
        <v>50259.1195222842</v>
      </c>
      <c r="K28" s="20" t="n">
        <f aca="false">J28*$B$10+$B$11*(1+$H$6)</f>
        <v>57564.7798805711</v>
      </c>
      <c r="L28" s="20" t="n">
        <f aca="false">J28-K28</f>
        <v>-7305.66035828686</v>
      </c>
      <c r="M28" s="20" t="n">
        <f aca="false">M27+L28</f>
        <v>217030.425310237</v>
      </c>
      <c r="N28" s="32" t="n">
        <f aca="false">IF(M28&lt;0,$A28,999)</f>
        <v>999</v>
      </c>
      <c r="O28" s="32" t="n">
        <f aca="false">IF(L28&gt;=0,$A28,999)</f>
        <v>999</v>
      </c>
      <c r="P28" s="31" t="n">
        <f aca="false">P27*(1+$F$7-$G$7)</f>
        <v>316.692520346904</v>
      </c>
      <c r="Q28" s="20" t="n">
        <f aca="false">P28*$B$7*(1+$E$7)</f>
        <v>47503.8780520356</v>
      </c>
      <c r="R28" s="20" t="n">
        <f aca="false">Q28*$B$10+$B$11*(1+$H$7)</f>
        <v>52375.9695130089</v>
      </c>
      <c r="S28" s="20" t="n">
        <f aca="false">Q28-R28</f>
        <v>-4872.09146097329</v>
      </c>
      <c r="T28" s="20" t="n">
        <f aca="false">T27+S28</f>
        <v>233599.859839917</v>
      </c>
      <c r="U28" s="32" t="n">
        <f aca="false">IF(T28&lt;0,$A28,999)</f>
        <v>999</v>
      </c>
      <c r="V28" s="32" t="n">
        <f aca="false">IF(S28&gt;=0,$A28,999)</f>
        <v>999</v>
      </c>
      <c r="W28" s="31" t="n">
        <f aca="false">W27*(1+$F$8-$G$8)</f>
        <v>195.935839859424</v>
      </c>
      <c r="X28" s="20" t="n">
        <f aca="false">W28*$B$7*(1+$E$8)</f>
        <v>29390.3759789136</v>
      </c>
      <c r="Y28" s="20" t="n">
        <f aca="false">X28*$B$10+$B$11*(1+$H$8)</f>
        <v>52347.5939947284</v>
      </c>
      <c r="Z28" s="20" t="n">
        <f aca="false">X28-Y28</f>
        <v>-22957.2180158148</v>
      </c>
      <c r="AA28" s="20" t="n">
        <f aca="false">AA27+Z28</f>
        <v>136658.382511345</v>
      </c>
      <c r="AB28" s="32" t="n">
        <f aca="false">IF(AA28&lt;0,$A28,999)</f>
        <v>999</v>
      </c>
      <c r="AC28" s="32" t="n">
        <f aca="false">IF(Z28&gt;=0,$A28,999)</f>
        <v>999</v>
      </c>
    </row>
    <row r="29" customFormat="false" ht="15" hidden="false" customHeight="false" outlineLevel="0" collapsed="false">
      <c r="A29" s="4" t="n">
        <v>9</v>
      </c>
      <c r="B29" s="31" t="n">
        <f aca="false">B28*(1+$F$5-$G$5)</f>
        <v>326.193295957311</v>
      </c>
      <c r="C29" s="20" t="n">
        <f aca="false">B29*$B$7*(1+$E$5)</f>
        <v>48928.9943935967</v>
      </c>
      <c r="D29" s="20" t="n">
        <f aca="false">C29*$B$10+$B$11*(1+$H$5)</f>
        <v>57232.2485983992</v>
      </c>
      <c r="E29" s="20" t="n">
        <f aca="false">C29-D29</f>
        <v>-8303.25420480249</v>
      </c>
      <c r="F29" s="20" t="n">
        <f aca="false">F28+E29</f>
        <v>189296.605635114</v>
      </c>
      <c r="G29" s="32" t="n">
        <f aca="false">IF(F29&lt;0,$A29,999)</f>
        <v>999</v>
      </c>
      <c r="H29" s="32" t="n">
        <f aca="false">IF(E29&gt;=0,$A29,999)</f>
        <v>999</v>
      </c>
      <c r="I29" s="31" t="n">
        <f aca="false">I28*(1+$F$6-$G$6)</f>
        <v>312.215742486917</v>
      </c>
      <c r="J29" s="20" t="n">
        <f aca="false">I29*$B$7*(1+$E$6)</f>
        <v>51515.5975103413</v>
      </c>
      <c r="K29" s="20" t="n">
        <f aca="false">J29*$B$10+$B$11*(1+$H$6)</f>
        <v>57878.8993775853</v>
      </c>
      <c r="L29" s="20" t="n">
        <f aca="false">J29-K29</f>
        <v>-6363.30186724402</v>
      </c>
      <c r="M29" s="20" t="n">
        <f aca="false">M28+L29</f>
        <v>210667.123442993</v>
      </c>
      <c r="N29" s="32" t="n">
        <f aca="false">IF(M29&lt;0,$A29,999)</f>
        <v>999</v>
      </c>
      <c r="O29" s="32" t="n">
        <f aca="false">IF(L29&gt;=0,$A29,999)</f>
        <v>999</v>
      </c>
      <c r="P29" s="31" t="n">
        <f aca="false">P28*(1+$F$7-$G$7)</f>
        <v>326.193295957311</v>
      </c>
      <c r="Q29" s="20" t="n">
        <f aca="false">P29*$B$7*(1+$E$7)</f>
        <v>48928.9943935967</v>
      </c>
      <c r="R29" s="20" t="n">
        <f aca="false">Q29*$B$10+$B$11*(1+$H$7)</f>
        <v>52732.2485983992</v>
      </c>
      <c r="S29" s="20" t="n">
        <f aca="false">Q29-R29</f>
        <v>-3803.25420480249</v>
      </c>
      <c r="T29" s="20" t="n">
        <f aca="false">T28+S29</f>
        <v>229796.605635114</v>
      </c>
      <c r="U29" s="32" t="n">
        <f aca="false">IF(T29&lt;0,$A29,999)</f>
        <v>999</v>
      </c>
      <c r="V29" s="32" t="n">
        <f aca="false">IF(S29&gt;=0,$A29,999)</f>
        <v>999</v>
      </c>
      <c r="W29" s="31" t="n">
        <f aca="false">W28*(1+$F$8-$G$8)</f>
        <v>190.057764663641</v>
      </c>
      <c r="X29" s="20" t="n">
        <f aca="false">W29*$B$7*(1+$E$8)</f>
        <v>28508.6646995462</v>
      </c>
      <c r="Y29" s="20" t="n">
        <f aca="false">X29*$B$10+$B$11*(1+$H$8)</f>
        <v>52127.1661748865</v>
      </c>
      <c r="Z29" s="20" t="n">
        <f aca="false">X29-Y29</f>
        <v>-23618.5014753404</v>
      </c>
      <c r="AA29" s="20" t="n">
        <f aca="false">AA28+Z29</f>
        <v>113039.881036005</v>
      </c>
      <c r="AB29" s="32" t="n">
        <f aca="false">IF(AA29&lt;0,$A29,999)</f>
        <v>999</v>
      </c>
      <c r="AC29" s="32" t="n">
        <f aca="false">IF(Z29&gt;=0,$A29,999)</f>
        <v>999</v>
      </c>
    </row>
    <row r="30" customFormat="false" ht="15" hidden="false" customHeight="false" outlineLevel="0" collapsed="false">
      <c r="A30" s="4" t="n">
        <v>10</v>
      </c>
      <c r="B30" s="31" t="n">
        <f aca="false">B29*(1+$F$5-$G$5)</f>
        <v>335.979094836031</v>
      </c>
      <c r="C30" s="20" t="n">
        <f aca="false">B30*$B$7*(1+$E$5)</f>
        <v>50396.8642254046</v>
      </c>
      <c r="D30" s="20" t="n">
        <f aca="false">C30*$B$10+$B$11*(1+$H$5)</f>
        <v>57599.2160563511</v>
      </c>
      <c r="E30" s="20" t="n">
        <f aca="false">C30-D30</f>
        <v>-7202.35183094657</v>
      </c>
      <c r="F30" s="20" t="n">
        <f aca="false">F29+E30</f>
        <v>182094.253804168</v>
      </c>
      <c r="G30" s="32" t="n">
        <f aca="false">IF(F30&lt;0,$A30,999)</f>
        <v>999</v>
      </c>
      <c r="H30" s="32" t="n">
        <f aca="false">IF(E30&gt;=0,$A30,999)</f>
        <v>999</v>
      </c>
      <c r="I30" s="31" t="n">
        <f aca="false">I29*(1+$F$6-$G$6)</f>
        <v>320.02113604909</v>
      </c>
      <c r="J30" s="20" t="n">
        <f aca="false">I30*$B$7*(1+$E$6)</f>
        <v>52803.4874480998</v>
      </c>
      <c r="K30" s="20" t="n">
        <f aca="false">J30*$B$10+$B$11*(1+$H$6)</f>
        <v>58200.871862025</v>
      </c>
      <c r="L30" s="20" t="n">
        <f aca="false">J30-K30</f>
        <v>-5397.38441392512</v>
      </c>
      <c r="M30" s="20" t="n">
        <f aca="false">M29+L30</f>
        <v>205269.739029068</v>
      </c>
      <c r="N30" s="32" t="n">
        <f aca="false">IF(M30&lt;0,$A30,999)</f>
        <v>999</v>
      </c>
      <c r="O30" s="32" t="n">
        <f aca="false">IF(L30&gt;=0,$A30,999)</f>
        <v>999</v>
      </c>
      <c r="P30" s="31" t="n">
        <f aca="false">P29*(1+$F$7-$G$7)</f>
        <v>335.979094836031</v>
      </c>
      <c r="Q30" s="20" t="n">
        <f aca="false">P30*$B$7*(1+$E$7)</f>
        <v>50396.8642254046</v>
      </c>
      <c r="R30" s="20" t="n">
        <f aca="false">Q30*$B$10+$B$11*(1+$H$7)</f>
        <v>53099.2160563511</v>
      </c>
      <c r="S30" s="20" t="n">
        <f aca="false">Q30-R30</f>
        <v>-2702.35183094657</v>
      </c>
      <c r="T30" s="20" t="n">
        <f aca="false">T29+S30</f>
        <v>227094.253804168</v>
      </c>
      <c r="U30" s="32" t="n">
        <f aca="false">IF(T30&lt;0,$A30,999)</f>
        <v>999</v>
      </c>
      <c r="V30" s="32" t="n">
        <f aca="false">IF(S30&gt;=0,$A30,999)</f>
        <v>999</v>
      </c>
      <c r="W30" s="31" t="n">
        <f aca="false">W29*(1+$F$8-$G$8)</f>
        <v>184.356031723732</v>
      </c>
      <c r="X30" s="20" t="n">
        <f aca="false">W30*$B$7*(1+$E$8)</f>
        <v>27653.4047585598</v>
      </c>
      <c r="Y30" s="20" t="n">
        <f aca="false">X30*$B$10+$B$11*(1+$H$8)</f>
        <v>51913.35118964</v>
      </c>
      <c r="Z30" s="20" t="n">
        <f aca="false">X30-Y30</f>
        <v>-24259.9464310801</v>
      </c>
      <c r="AA30" s="20" t="n">
        <f aca="false">AA29+Z30</f>
        <v>88779.9346049246</v>
      </c>
      <c r="AB30" s="32" t="n">
        <f aca="false">IF(AA30&lt;0,$A30,999)</f>
        <v>999</v>
      </c>
      <c r="AC30" s="32" t="n">
        <f aca="false">IF(Z30&gt;=0,$A30,999)</f>
        <v>999</v>
      </c>
    </row>
    <row r="31" customFormat="false" ht="15" hidden="false" customHeight="false" outlineLevel="0" collapsed="false">
      <c r="A31" s="4" t="n">
        <v>11</v>
      </c>
      <c r="B31" s="31" t="n">
        <f aca="false">B30*(1+$F$5-$G$5)</f>
        <v>346.058467681111</v>
      </c>
      <c r="C31" s="20" t="n">
        <f aca="false">B31*$B$7*(1+$E$5)</f>
        <v>51908.7701521667</v>
      </c>
      <c r="D31" s="20" t="n">
        <f aca="false">C31*$B$10+$B$11*(1+$H$5)</f>
        <v>57977.1925380417</v>
      </c>
      <c r="E31" s="20" t="n">
        <f aca="false">C31-D31</f>
        <v>-6068.42238587496</v>
      </c>
      <c r="F31" s="20" t="n">
        <f aca="false">F30+E31</f>
        <v>176025.831418293</v>
      </c>
      <c r="G31" s="32" t="n">
        <f aca="false">IF(F31&lt;0,$A31,999)</f>
        <v>999</v>
      </c>
      <c r="H31" s="32" t="n">
        <f aca="false">IF(E31&gt;=0,$A31,999)</f>
        <v>999</v>
      </c>
      <c r="I31" s="31" t="n">
        <f aca="false">I30*(1+$F$6-$G$6)</f>
        <v>328.021664450317</v>
      </c>
      <c r="J31" s="20" t="n">
        <f aca="false">I31*$B$7*(1+$E$6)</f>
        <v>54123.5746343024</v>
      </c>
      <c r="K31" s="20" t="n">
        <f aca="false">J31*$B$10+$B$11*(1+$H$6)</f>
        <v>58530.8936585756</v>
      </c>
      <c r="L31" s="20" t="n">
        <f aca="false">J31-K31</f>
        <v>-4407.31902427324</v>
      </c>
      <c r="M31" s="20" t="n">
        <f aca="false">M30+L31</f>
        <v>200862.420004795</v>
      </c>
      <c r="N31" s="32" t="n">
        <f aca="false">IF(M31&lt;0,$A31,999)</f>
        <v>999</v>
      </c>
      <c r="O31" s="32" t="n">
        <f aca="false">IF(L31&gt;=0,$A31,999)</f>
        <v>999</v>
      </c>
      <c r="P31" s="31" t="n">
        <f aca="false">P30*(1+$F$7-$G$7)</f>
        <v>346.058467681111</v>
      </c>
      <c r="Q31" s="20" t="n">
        <f aca="false">P31*$B$7*(1+$E$7)</f>
        <v>51908.7701521667</v>
      </c>
      <c r="R31" s="20" t="n">
        <f aca="false">Q31*$B$10+$B$11*(1+$H$7)</f>
        <v>53477.1925380417</v>
      </c>
      <c r="S31" s="20" t="n">
        <f aca="false">Q31-R31</f>
        <v>-1568.42238587496</v>
      </c>
      <c r="T31" s="20" t="n">
        <f aca="false">T30+S31</f>
        <v>225525.831418293</v>
      </c>
      <c r="U31" s="32" t="n">
        <f aca="false">IF(T31&lt;0,$A31,999)</f>
        <v>999</v>
      </c>
      <c r="V31" s="32" t="n">
        <f aca="false">IF(S31&gt;=0,$A31,999)</f>
        <v>999</v>
      </c>
      <c r="W31" s="31" t="n">
        <f aca="false">W30*(1+$F$8-$G$8)</f>
        <v>178.82535077202</v>
      </c>
      <c r="X31" s="20" t="n">
        <f aca="false">W31*$B$7*(1+$E$8)</f>
        <v>26823.802615803</v>
      </c>
      <c r="Y31" s="20" t="n">
        <f aca="false">X31*$B$10+$B$11*(1+$H$8)</f>
        <v>51705.9506539508</v>
      </c>
      <c r="Z31" s="20" t="n">
        <f aca="false">X31-Y31</f>
        <v>-24882.1480381477</v>
      </c>
      <c r="AA31" s="20" t="n">
        <f aca="false">AA30+Z31</f>
        <v>63897.7865667769</v>
      </c>
      <c r="AB31" s="32" t="n">
        <f aca="false">IF(AA31&lt;0,$A31,999)</f>
        <v>999</v>
      </c>
      <c r="AC31" s="32" t="n">
        <f aca="false">IF(Z31&gt;=0,$A31,999)</f>
        <v>999</v>
      </c>
    </row>
    <row r="32" customFormat="false" ht="15" hidden="false" customHeight="false" outlineLevel="0" collapsed="false">
      <c r="A32" s="4" t="n">
        <v>12</v>
      </c>
      <c r="B32" s="31" t="n">
        <f aca="false">B31*(1+$F$5-$G$5)</f>
        <v>356.440221711545</v>
      </c>
      <c r="C32" s="20" t="n">
        <f aca="false">B32*$B$7*(1+$E$5)</f>
        <v>53466.0332567317</v>
      </c>
      <c r="D32" s="20" t="n">
        <f aca="false">C32*$B$10+$B$11*(1+$H$5)</f>
        <v>58366.5083141829</v>
      </c>
      <c r="E32" s="20" t="n">
        <f aca="false">C32-D32</f>
        <v>-4900.47505745121</v>
      </c>
      <c r="F32" s="20" t="n">
        <f aca="false">F31+E32</f>
        <v>171125.356360842</v>
      </c>
      <c r="G32" s="32" t="n">
        <f aca="false">IF(F32&lt;0,$A32,999)</f>
        <v>999</v>
      </c>
      <c r="H32" s="32" t="n">
        <f aca="false">IF(E32&gt;=0,$A32,999)</f>
        <v>999</v>
      </c>
      <c r="I32" s="31" t="n">
        <f aca="false">I31*(1+$F$6-$G$6)</f>
        <v>336.222206061575</v>
      </c>
      <c r="J32" s="20" t="n">
        <f aca="false">I32*$B$7*(1+$E$6)</f>
        <v>55476.6640001599</v>
      </c>
      <c r="K32" s="20" t="n">
        <f aca="false">J32*$B$10+$B$11*(1+$H$6)</f>
        <v>58869.16600004</v>
      </c>
      <c r="L32" s="20" t="n">
        <f aca="false">J32-K32</f>
        <v>-3392.50199988006</v>
      </c>
      <c r="M32" s="20" t="n">
        <f aca="false">M31+L32</f>
        <v>197469.918004915</v>
      </c>
      <c r="N32" s="32" t="n">
        <f aca="false">IF(M32&lt;0,$A32,999)</f>
        <v>999</v>
      </c>
      <c r="O32" s="32" t="n">
        <f aca="false">IF(L32&gt;=0,$A32,999)</f>
        <v>999</v>
      </c>
      <c r="P32" s="31" t="n">
        <f aca="false">P31*(1+$F$7-$G$7)</f>
        <v>356.440221711545</v>
      </c>
      <c r="Q32" s="20" t="n">
        <f aca="false">P32*$B$7*(1+$E$7)</f>
        <v>53466.0332567317</v>
      </c>
      <c r="R32" s="20" t="n">
        <f aca="false">Q32*$B$10+$B$11*(1+$H$7)</f>
        <v>53866.5083141829</v>
      </c>
      <c r="S32" s="20" t="n">
        <f aca="false">Q32-R32</f>
        <v>-400.475057451215</v>
      </c>
      <c r="T32" s="20" t="n">
        <f aca="false">T31+S32</f>
        <v>225125.356360842</v>
      </c>
      <c r="U32" s="32" t="n">
        <f aca="false">IF(T32&lt;0,$A32,999)</f>
        <v>999</v>
      </c>
      <c r="V32" s="32" t="n">
        <f aca="false">IF(S32&gt;=0,$A32,999)</f>
        <v>999</v>
      </c>
      <c r="W32" s="31" t="n">
        <f aca="false">W31*(1+$F$8-$G$8)</f>
        <v>173.460590248859</v>
      </c>
      <c r="X32" s="20" t="n">
        <f aca="false">W32*$B$7*(1+$E$8)</f>
        <v>26019.0885373289</v>
      </c>
      <c r="Y32" s="20" t="n">
        <f aca="false">X32*$B$10+$B$11*(1+$H$8)</f>
        <v>51504.7721343322</v>
      </c>
      <c r="Z32" s="20" t="n">
        <f aca="false">X32-Y32</f>
        <v>-25485.6835970033</v>
      </c>
      <c r="AA32" s="20" t="n">
        <f aca="false">AA31+Z32</f>
        <v>38412.1029697735</v>
      </c>
      <c r="AB32" s="32" t="n">
        <f aca="false">IF(AA32&lt;0,$A32,999)</f>
        <v>999</v>
      </c>
      <c r="AC32" s="32" t="n">
        <f aca="false">IF(Z32&gt;=0,$A32,999)</f>
        <v>999</v>
      </c>
    </row>
    <row r="33" customFormat="false" ht="15" hidden="false" customHeight="false" outlineLevel="0" collapsed="false">
      <c r="A33" s="4" t="n">
        <v>13</v>
      </c>
      <c r="B33" s="31" t="n">
        <f aca="false">B32*(1+$F$5-$G$5)</f>
        <v>367.133428362891</v>
      </c>
      <c r="C33" s="20" t="n">
        <f aca="false">B33*$B$7*(1+$E$5)</f>
        <v>55070.0142544337</v>
      </c>
      <c r="D33" s="20" t="n">
        <f aca="false">C33*$B$10+$B$11*(1+$H$5)</f>
        <v>58767.5035636084</v>
      </c>
      <c r="E33" s="20" t="n">
        <f aca="false">C33-D33</f>
        <v>-3697.48930917475</v>
      </c>
      <c r="F33" s="20" t="n">
        <f aca="false">F32+E33</f>
        <v>167427.867051667</v>
      </c>
      <c r="G33" s="32" t="n">
        <f aca="false">IF(F33&lt;0,$A33,999)</f>
        <v>999</v>
      </c>
      <c r="H33" s="32" t="n">
        <f aca="false">IF(E33&gt;=0,$A33,999)</f>
        <v>999</v>
      </c>
      <c r="I33" s="31" t="n">
        <f aca="false">I32*(1+$F$6-$G$6)</f>
        <v>344.627761213115</v>
      </c>
      <c r="J33" s="20" t="n">
        <f aca="false">I33*$B$7*(1+$E$6)</f>
        <v>56863.5806001639</v>
      </c>
      <c r="K33" s="20" t="n">
        <f aca="false">J33*$B$10+$B$11*(1+$H$6)</f>
        <v>59215.895150041</v>
      </c>
      <c r="L33" s="20" t="n">
        <f aca="false">J33-K33</f>
        <v>-2352.31454987706</v>
      </c>
      <c r="M33" s="20" t="n">
        <f aca="false">M32+L33</f>
        <v>195117.603455038</v>
      </c>
      <c r="N33" s="32" t="n">
        <f aca="false">IF(M33&lt;0,$A33,999)</f>
        <v>999</v>
      </c>
      <c r="O33" s="32" t="n">
        <f aca="false">IF(L33&gt;=0,$A33,999)</f>
        <v>999</v>
      </c>
      <c r="P33" s="31" t="n">
        <f aca="false">P32*(1+$F$7-$G$7)</f>
        <v>367.133428362891</v>
      </c>
      <c r="Q33" s="20" t="n">
        <f aca="false">P33*$B$7*(1+$E$7)</f>
        <v>55070.0142544337</v>
      </c>
      <c r="R33" s="20" t="n">
        <f aca="false">Q33*$B$10+$B$11*(1+$H$7)</f>
        <v>54267.5035636084</v>
      </c>
      <c r="S33" s="20" t="n">
        <f aca="false">Q33-R33</f>
        <v>802.510690825249</v>
      </c>
      <c r="T33" s="20" t="n">
        <f aca="false">T32+S33</f>
        <v>225927.867051667</v>
      </c>
      <c r="U33" s="32" t="n">
        <f aca="false">IF(T33&lt;0,$A33,999)</f>
        <v>999</v>
      </c>
      <c r="V33" s="32" t="n">
        <f aca="false">IF(S33&gt;=0,$A33,999)</f>
        <v>13</v>
      </c>
      <c r="W33" s="31" t="n">
        <f aca="false">W32*(1+$F$8-$G$8)</f>
        <v>168.256772541394</v>
      </c>
      <c r="X33" s="20" t="n">
        <f aca="false">W33*$B$7*(1+$E$8)</f>
        <v>25238.5158812091</v>
      </c>
      <c r="Y33" s="20" t="n">
        <f aca="false">X33*$B$10+$B$11*(1+$H$8)</f>
        <v>51309.6289703023</v>
      </c>
      <c r="Z33" s="20" t="n">
        <f aca="false">X33-Y33</f>
        <v>-26071.1130890932</v>
      </c>
      <c r="AA33" s="20" t="n">
        <f aca="false">AA32+Z33</f>
        <v>12340.9898806803</v>
      </c>
      <c r="AB33" s="32" t="n">
        <f aca="false">IF(AA33&lt;0,$A33,999)</f>
        <v>999</v>
      </c>
      <c r="AC33" s="32" t="n">
        <f aca="false">IF(Z33&gt;=0,$A33,999)</f>
        <v>999</v>
      </c>
    </row>
    <row r="34" customFormat="false" ht="15" hidden="false" customHeight="false" outlineLevel="0" collapsed="false">
      <c r="A34" s="4" t="n">
        <v>14</v>
      </c>
      <c r="B34" s="31" t="n">
        <f aca="false">B33*(1+$F$5-$G$5)</f>
        <v>378.147431213778</v>
      </c>
      <c r="C34" s="20" t="n">
        <f aca="false">B34*$B$7*(1+$E$5)</f>
        <v>56722.1146820667</v>
      </c>
      <c r="D34" s="20" t="n">
        <f aca="false">C34*$B$10+$B$11*(1+$H$5)</f>
        <v>59180.5286705167</v>
      </c>
      <c r="E34" s="20" t="n">
        <f aca="false">C34-D34</f>
        <v>-2458.41398844999</v>
      </c>
      <c r="F34" s="20" t="n">
        <f aca="false">F33+E34</f>
        <v>164969.453063217</v>
      </c>
      <c r="G34" s="32" t="n">
        <f aca="false">IF(F34&lt;0,$A34,999)</f>
        <v>999</v>
      </c>
      <c r="H34" s="32" t="n">
        <f aca="false">IF(E34&gt;=0,$A34,999)</f>
        <v>999</v>
      </c>
      <c r="I34" s="31" t="n">
        <f aca="false">I33*(1+$F$6-$G$6)</f>
        <v>353.243455243443</v>
      </c>
      <c r="J34" s="20" t="n">
        <f aca="false">I34*$B$7*(1+$E$6)</f>
        <v>58285.170115168</v>
      </c>
      <c r="K34" s="20" t="n">
        <f aca="false">J34*$B$10+$B$11*(1+$H$6)</f>
        <v>59571.292528792</v>
      </c>
      <c r="L34" s="20" t="n">
        <f aca="false">J34-K34</f>
        <v>-1286.12241362398</v>
      </c>
      <c r="M34" s="20" t="n">
        <f aca="false">M33+L34</f>
        <v>193831.481041414</v>
      </c>
      <c r="N34" s="32" t="n">
        <f aca="false">IF(M34&lt;0,$A34,999)</f>
        <v>999</v>
      </c>
      <c r="O34" s="32" t="n">
        <f aca="false">IF(L34&gt;=0,$A34,999)</f>
        <v>999</v>
      </c>
      <c r="P34" s="31" t="n">
        <f aca="false">P33*(1+$F$7-$G$7)</f>
        <v>378.147431213778</v>
      </c>
      <c r="Q34" s="20" t="n">
        <f aca="false">P34*$B$7*(1+$E$7)</f>
        <v>56722.1146820667</v>
      </c>
      <c r="R34" s="20" t="n">
        <f aca="false">Q34*$B$10+$B$11*(1+$H$7)</f>
        <v>54680.5286705167</v>
      </c>
      <c r="S34" s="20" t="n">
        <f aca="false">Q34-R34</f>
        <v>2041.58601155001</v>
      </c>
      <c r="T34" s="20" t="n">
        <f aca="false">T33+S34</f>
        <v>227969.453063217</v>
      </c>
      <c r="U34" s="32" t="n">
        <f aca="false">IF(T34&lt;0,$A34,999)</f>
        <v>999</v>
      </c>
      <c r="V34" s="32" t="n">
        <f aca="false">IF(S34&gt;=0,$A34,999)</f>
        <v>14</v>
      </c>
      <c r="W34" s="31" t="n">
        <f aca="false">W33*(1+$F$8-$G$8)</f>
        <v>163.209069365152</v>
      </c>
      <c r="X34" s="20" t="n">
        <f aca="false">W34*$B$7*(1+$E$8)</f>
        <v>24481.3604047728</v>
      </c>
      <c r="Y34" s="20" t="n">
        <f aca="false">X34*$B$10+$B$11*(1+$H$8)</f>
        <v>51120.3401011932</v>
      </c>
      <c r="Z34" s="20" t="n">
        <f aca="false">X34-Y34</f>
        <v>-26638.9796964204</v>
      </c>
      <c r="AA34" s="20" t="n">
        <f aca="false">AA33+Z34</f>
        <v>-14297.9898157401</v>
      </c>
      <c r="AB34" s="32" t="n">
        <f aca="false">IF(AA34&lt;0,$A34,999)</f>
        <v>14</v>
      </c>
      <c r="AC34" s="32" t="n">
        <f aca="false">IF(Z34&gt;=0,$A34,999)</f>
        <v>999</v>
      </c>
    </row>
    <row r="35" customFormat="false" ht="15" hidden="false" customHeight="false" outlineLevel="0" collapsed="false">
      <c r="A35" s="4" t="n">
        <v>15</v>
      </c>
      <c r="B35" s="31" t="n">
        <f aca="false">B34*(1+$F$5-$G$5)</f>
        <v>389.491854150191</v>
      </c>
      <c r="C35" s="20" t="n">
        <f aca="false">B35*$B$7*(1+$E$5)</f>
        <v>58423.7781225287</v>
      </c>
      <c r="D35" s="20" t="n">
        <f aca="false">C35*$B$10+$B$11*(1+$H$5)</f>
        <v>59605.9445306322</v>
      </c>
      <c r="E35" s="20" t="n">
        <f aca="false">C35-D35</f>
        <v>-1182.16640810348</v>
      </c>
      <c r="F35" s="20" t="n">
        <f aca="false">F34+E35</f>
        <v>163787.286655113</v>
      </c>
      <c r="G35" s="32" t="n">
        <f aca="false">IF(F35&lt;0,$A35,999)</f>
        <v>999</v>
      </c>
      <c r="H35" s="32" t="n">
        <f aca="false">IF(E35&gt;=0,$A35,999)</f>
        <v>999</v>
      </c>
      <c r="I35" s="31" t="n">
        <f aca="false">I34*(1+$F$6-$G$6)</f>
        <v>362.074541624529</v>
      </c>
      <c r="J35" s="20" t="n">
        <f aca="false">I35*$B$7*(1+$E$6)</f>
        <v>59742.2993680472</v>
      </c>
      <c r="K35" s="20" t="n">
        <f aca="false">J35*$B$10+$B$11*(1+$H$6)</f>
        <v>59935.5748420118</v>
      </c>
      <c r="L35" s="20" t="n">
        <f aca="false">J35-K35</f>
        <v>-193.275473964575</v>
      </c>
      <c r="M35" s="20" t="n">
        <f aca="false">M34+L35</f>
        <v>193638.205567449</v>
      </c>
      <c r="N35" s="32" t="n">
        <f aca="false">IF(M35&lt;0,$A35,999)</f>
        <v>999</v>
      </c>
      <c r="O35" s="32" t="n">
        <f aca="false">IF(L35&gt;=0,$A35,999)</f>
        <v>999</v>
      </c>
      <c r="P35" s="31" t="n">
        <f aca="false">P34*(1+$F$7-$G$7)</f>
        <v>389.491854150191</v>
      </c>
      <c r="Q35" s="20" t="n">
        <f aca="false">P35*$B$7*(1+$E$7)</f>
        <v>58423.7781225287</v>
      </c>
      <c r="R35" s="20" t="n">
        <f aca="false">Q35*$B$10+$B$11*(1+$H$7)</f>
        <v>55105.9445306322</v>
      </c>
      <c r="S35" s="20" t="n">
        <f aca="false">Q35-R35</f>
        <v>3317.83359189652</v>
      </c>
      <c r="T35" s="20" t="n">
        <f aca="false">T34+S35</f>
        <v>231287.286655113</v>
      </c>
      <c r="U35" s="32" t="n">
        <f aca="false">IF(T35&lt;0,$A35,999)</f>
        <v>999</v>
      </c>
      <c r="V35" s="32" t="n">
        <f aca="false">IF(S35&gt;=0,$A35,999)</f>
        <v>15</v>
      </c>
      <c r="W35" s="31" t="n">
        <f aca="false">W34*(1+$F$8-$G$8)</f>
        <v>158.312797284197</v>
      </c>
      <c r="X35" s="20" t="n">
        <f aca="false">W35*$B$7*(1+$E$8)</f>
        <v>23746.9195926296</v>
      </c>
      <c r="Y35" s="20" t="n">
        <f aca="false">X35*$B$10+$B$11*(1+$H$8)</f>
        <v>50936.7298981574</v>
      </c>
      <c r="Z35" s="20" t="n">
        <f aca="false">X35-Y35</f>
        <v>-27189.8103055278</v>
      </c>
      <c r="AA35" s="20" t="n">
        <f aca="false">AA34+Z35</f>
        <v>-41487.8001212679</v>
      </c>
      <c r="AB35" s="32" t="n">
        <f aca="false">IF(AA35&lt;0,$A35,999)</f>
        <v>15</v>
      </c>
      <c r="AC35" s="32" t="n">
        <f aca="false">IF(Z35&gt;=0,$A35,999)</f>
        <v>999</v>
      </c>
    </row>
    <row r="36" customFormat="false" ht="15" hidden="false" customHeight="false" outlineLevel="0" collapsed="false">
      <c r="A36" s="4" t="n">
        <v>16</v>
      </c>
      <c r="B36" s="31" t="n">
        <f aca="false">B35*(1+$F$5-$G$5)</f>
        <v>401.176609774697</v>
      </c>
      <c r="C36" s="20" t="n">
        <f aca="false">B36*$B$7*(1+$E$5)</f>
        <v>60176.4914662046</v>
      </c>
      <c r="D36" s="20" t="n">
        <f aca="false">C36*$B$10+$B$11*(1+$H$5)</f>
        <v>60044.1228665511</v>
      </c>
      <c r="E36" s="20" t="n">
        <f aca="false">C36-D36</f>
        <v>132.368599653411</v>
      </c>
      <c r="F36" s="20" t="n">
        <f aca="false">F35+E36</f>
        <v>163919.655254767</v>
      </c>
      <c r="G36" s="32" t="n">
        <f aca="false">IF(F36&lt;0,$A36,999)</f>
        <v>999</v>
      </c>
      <c r="H36" s="32" t="n">
        <f aca="false">IF(E36&gt;=0,$A36,999)</f>
        <v>16</v>
      </c>
      <c r="I36" s="31" t="n">
        <f aca="false">I35*(1+$F$6-$G$6)</f>
        <v>371.126405165142</v>
      </c>
      <c r="J36" s="20" t="n">
        <f aca="false">I36*$B$7*(1+$E$6)</f>
        <v>61235.8568522484</v>
      </c>
      <c r="K36" s="20" t="n">
        <f aca="false">J36*$B$10+$B$11*(1+$H$6)</f>
        <v>60308.9642130621</v>
      </c>
      <c r="L36" s="20" t="n">
        <f aca="false">J36-K36</f>
        <v>926.892639186313</v>
      </c>
      <c r="M36" s="20" t="n">
        <f aca="false">M35+L36</f>
        <v>194565.098206635</v>
      </c>
      <c r="N36" s="32" t="n">
        <f aca="false">IF(M36&lt;0,$A36,999)</f>
        <v>999</v>
      </c>
      <c r="O36" s="32" t="n">
        <f aca="false">IF(L36&gt;=0,$A36,999)</f>
        <v>16</v>
      </c>
      <c r="P36" s="31" t="n">
        <f aca="false">P35*(1+$F$7-$G$7)</f>
        <v>401.176609774697</v>
      </c>
      <c r="Q36" s="20" t="n">
        <f aca="false">P36*$B$7*(1+$E$7)</f>
        <v>60176.4914662046</v>
      </c>
      <c r="R36" s="20" t="n">
        <f aca="false">Q36*$B$10+$B$11*(1+$H$7)</f>
        <v>55544.1228665511</v>
      </c>
      <c r="S36" s="20" t="n">
        <f aca="false">Q36-R36</f>
        <v>4632.36859965341</v>
      </c>
      <c r="T36" s="20" t="n">
        <f aca="false">T35+S36</f>
        <v>235919.655254767</v>
      </c>
      <c r="U36" s="32" t="n">
        <f aca="false">IF(T36&lt;0,$A36,999)</f>
        <v>999</v>
      </c>
      <c r="V36" s="32" t="n">
        <f aca="false">IF(S36&gt;=0,$A36,999)</f>
        <v>16</v>
      </c>
      <c r="W36" s="31" t="n">
        <f aca="false">W35*(1+$F$8-$G$8)</f>
        <v>153.563413365671</v>
      </c>
      <c r="X36" s="20" t="n">
        <f aca="false">W36*$B$7*(1+$E$8)</f>
        <v>23034.5120048507</v>
      </c>
      <c r="Y36" s="20" t="n">
        <f aca="false">X36*$B$10+$B$11*(1+$H$8)</f>
        <v>50758.6280012127</v>
      </c>
      <c r="Z36" s="20" t="n">
        <f aca="false">X36-Y36</f>
        <v>-27724.115996362</v>
      </c>
      <c r="AA36" s="20" t="n">
        <f aca="false">AA35+Z36</f>
        <v>-69211.9161176299</v>
      </c>
      <c r="AB36" s="32" t="n">
        <f aca="false">IF(AA36&lt;0,$A36,999)</f>
        <v>16</v>
      </c>
      <c r="AC36" s="32" t="n">
        <f aca="false">IF(Z36&gt;=0,$A36,999)</f>
        <v>999</v>
      </c>
    </row>
    <row r="37" customFormat="false" ht="15" hidden="false" customHeight="false" outlineLevel="0" collapsed="false">
      <c r="A37" s="4" t="n">
        <v>17</v>
      </c>
      <c r="B37" s="31" t="n">
        <f aca="false">B36*(1+$F$5-$G$5)</f>
        <v>413.211908067938</v>
      </c>
      <c r="C37" s="20" t="n">
        <f aca="false">B37*$B$7*(1+$E$5)</f>
        <v>61981.7862101907</v>
      </c>
      <c r="D37" s="20" t="n">
        <f aca="false">C37*$B$10+$B$11*(1+$H$5)</f>
        <v>60495.4465525477</v>
      </c>
      <c r="E37" s="20" t="n">
        <f aca="false">C37-D37</f>
        <v>1486.33965764302</v>
      </c>
      <c r="F37" s="20" t="n">
        <f aca="false">F36+E37</f>
        <v>165405.99491241</v>
      </c>
      <c r="G37" s="32" t="n">
        <f aca="false">IF(F37&lt;0,$A37,999)</f>
        <v>999</v>
      </c>
      <c r="H37" s="32" t="n">
        <f aca="false">IF(E37&gt;=0,$A37,999)</f>
        <v>17</v>
      </c>
      <c r="I37" s="31" t="n">
        <f aca="false">I36*(1+$F$6-$G$6)</f>
        <v>380.404565294271</v>
      </c>
      <c r="J37" s="20" t="n">
        <f aca="false">I37*$B$7*(1+$E$6)</f>
        <v>62766.7532735546</v>
      </c>
      <c r="K37" s="20" t="n">
        <f aca="false">J37*$B$10+$B$11*(1+$H$6)</f>
        <v>60691.6883183887</v>
      </c>
      <c r="L37" s="20" t="n">
        <f aca="false">J37-K37</f>
        <v>2075.06495516598</v>
      </c>
      <c r="M37" s="20" t="n">
        <f aca="false">M36+L37</f>
        <v>196640.163161801</v>
      </c>
      <c r="N37" s="32" t="n">
        <f aca="false">IF(M37&lt;0,$A37,999)</f>
        <v>999</v>
      </c>
      <c r="O37" s="32" t="n">
        <f aca="false">IF(L37&gt;=0,$A37,999)</f>
        <v>17</v>
      </c>
      <c r="P37" s="31" t="n">
        <f aca="false">P36*(1+$F$7-$G$7)</f>
        <v>413.211908067938</v>
      </c>
      <c r="Q37" s="20" t="n">
        <f aca="false">P37*$B$7*(1+$E$7)</f>
        <v>61981.7862101907</v>
      </c>
      <c r="R37" s="20" t="n">
        <f aca="false">Q37*$B$10+$B$11*(1+$H$7)</f>
        <v>55995.4465525477</v>
      </c>
      <c r="S37" s="20" t="n">
        <f aca="false">Q37-R37</f>
        <v>5986.33965764302</v>
      </c>
      <c r="T37" s="20" t="n">
        <f aca="false">T36+S37</f>
        <v>241905.99491241</v>
      </c>
      <c r="U37" s="32" t="n">
        <f aca="false">IF(T37&lt;0,$A37,999)</f>
        <v>999</v>
      </c>
      <c r="V37" s="32" t="n">
        <f aca="false">IF(S37&gt;=0,$A37,999)</f>
        <v>17</v>
      </c>
      <c r="W37" s="31" t="n">
        <f aca="false">W36*(1+$F$8-$G$8)</f>
        <v>148.956510964701</v>
      </c>
      <c r="X37" s="20" t="n">
        <f aca="false">W37*$B$7*(1+$E$8)</f>
        <v>22343.4766447052</v>
      </c>
      <c r="Y37" s="20" t="n">
        <f aca="false">X37*$B$10+$B$11*(1+$H$8)</f>
        <v>50585.8691611763</v>
      </c>
      <c r="Z37" s="20" t="n">
        <f aca="false">X37-Y37</f>
        <v>-28242.3925164711</v>
      </c>
      <c r="AA37" s="20" t="n">
        <f aca="false">AA36+Z37</f>
        <v>-97454.308634101</v>
      </c>
      <c r="AB37" s="32" t="n">
        <f aca="false">IF(AA37&lt;0,$A37,999)</f>
        <v>17</v>
      </c>
      <c r="AC37" s="32" t="n">
        <f aca="false">IF(Z37&gt;=0,$A37,999)</f>
        <v>999</v>
      </c>
    </row>
    <row r="38" customFormat="false" ht="15" hidden="false" customHeight="false" outlineLevel="0" collapsed="false">
      <c r="A38" s="4" t="n">
        <v>18</v>
      </c>
      <c r="B38" s="31" t="n">
        <f aca="false">B37*(1+$F$5-$G$5)</f>
        <v>425.608265309976</v>
      </c>
      <c r="C38" s="20" t="n">
        <f aca="false">B38*$B$7*(1+$E$5)</f>
        <v>63841.2397964964</v>
      </c>
      <c r="D38" s="20" t="n">
        <f aca="false">C38*$B$10+$B$11*(1+$H$5)</f>
        <v>60960.3099491241</v>
      </c>
      <c r="E38" s="20" t="n">
        <f aca="false">C38-D38</f>
        <v>2880.92984737232</v>
      </c>
      <c r="F38" s="20" t="n">
        <f aca="false">F37+E38</f>
        <v>168286.924759782</v>
      </c>
      <c r="G38" s="32" t="n">
        <f aca="false">IF(F38&lt;0,$A38,999)</f>
        <v>999</v>
      </c>
      <c r="H38" s="32" t="n">
        <f aca="false">IF(E38&gt;=0,$A38,999)</f>
        <v>18</v>
      </c>
      <c r="I38" s="31" t="n">
        <f aca="false">I37*(1+$F$6-$G$6)</f>
        <v>389.914679426627</v>
      </c>
      <c r="J38" s="20" t="n">
        <f aca="false">I38*$B$7*(1+$E$6)</f>
        <v>64335.9221053935</v>
      </c>
      <c r="K38" s="20" t="n">
        <f aca="false">J38*$B$10+$B$11*(1+$H$6)</f>
        <v>61083.9805263484</v>
      </c>
      <c r="L38" s="20" t="n">
        <f aca="false">J38-K38</f>
        <v>3251.94157904514</v>
      </c>
      <c r="M38" s="20" t="n">
        <f aca="false">M37+L38</f>
        <v>199892.104740846</v>
      </c>
      <c r="N38" s="32" t="n">
        <f aca="false">IF(M38&lt;0,$A38,999)</f>
        <v>999</v>
      </c>
      <c r="O38" s="32" t="n">
        <f aca="false">IF(L38&gt;=0,$A38,999)</f>
        <v>18</v>
      </c>
      <c r="P38" s="31" t="n">
        <f aca="false">P37*(1+$F$7-$G$7)</f>
        <v>425.608265309976</v>
      </c>
      <c r="Q38" s="20" t="n">
        <f aca="false">P38*$B$7*(1+$E$7)</f>
        <v>63841.2397964964</v>
      </c>
      <c r="R38" s="20" t="n">
        <f aca="false">Q38*$B$10+$B$11*(1+$H$7)</f>
        <v>56460.3099491241</v>
      </c>
      <c r="S38" s="20" t="n">
        <f aca="false">Q38-R38</f>
        <v>7380.92984737232</v>
      </c>
      <c r="T38" s="20" t="n">
        <f aca="false">T37+S38</f>
        <v>249286.924759782</v>
      </c>
      <c r="U38" s="32" t="n">
        <f aca="false">IF(T38&lt;0,$A38,999)</f>
        <v>999</v>
      </c>
      <c r="V38" s="32" t="n">
        <f aca="false">IF(S38&gt;=0,$A38,999)</f>
        <v>18</v>
      </c>
      <c r="W38" s="31" t="n">
        <f aca="false">W37*(1+$F$8-$G$8)</f>
        <v>144.48781563576</v>
      </c>
      <c r="X38" s="20" t="n">
        <f aca="false">W38*$B$7*(1+$E$8)</f>
        <v>21673.172345364</v>
      </c>
      <c r="Y38" s="20" t="n">
        <f aca="false">X38*$B$10+$B$11*(1+$H$8)</f>
        <v>50418.293086341</v>
      </c>
      <c r="Z38" s="20" t="n">
        <f aca="false">X38-Y38</f>
        <v>-28745.120740977</v>
      </c>
      <c r="AA38" s="20" t="n">
        <f aca="false">AA37+Z38</f>
        <v>-126199.429375078</v>
      </c>
      <c r="AB38" s="32" t="n">
        <f aca="false">IF(AA38&lt;0,$A38,999)</f>
        <v>18</v>
      </c>
      <c r="AC38" s="32" t="n">
        <f aca="false">IF(Z38&gt;=0,$A38,999)</f>
        <v>999</v>
      </c>
    </row>
    <row r="39" customFormat="false" ht="15" hidden="false" customHeight="false" outlineLevel="0" collapsed="false">
      <c r="A39" s="4" t="n">
        <v>19</v>
      </c>
      <c r="B39" s="31" t="n">
        <f aca="false">B38*(1+$F$5-$G$5)</f>
        <v>438.376513269275</v>
      </c>
      <c r="C39" s="20" t="n">
        <f aca="false">B39*$B$7*(1+$E$5)</f>
        <v>65756.4769903913</v>
      </c>
      <c r="D39" s="20" t="n">
        <f aca="false">C39*$B$10+$B$11*(1+$H$5)</f>
        <v>61439.1192475978</v>
      </c>
      <c r="E39" s="20" t="n">
        <f aca="false">C39-D39</f>
        <v>4317.35774279348</v>
      </c>
      <c r="F39" s="20" t="n">
        <f aca="false">F38+E39</f>
        <v>172604.282502576</v>
      </c>
      <c r="G39" s="32" t="n">
        <f aca="false">IF(F39&lt;0,$A39,999)</f>
        <v>999</v>
      </c>
      <c r="H39" s="32" t="n">
        <f aca="false">IF(E39&gt;=0,$A39,999)</f>
        <v>19</v>
      </c>
      <c r="I39" s="31" t="n">
        <f aca="false">I38*(1+$F$6-$G$6)</f>
        <v>399.662546412293</v>
      </c>
      <c r="J39" s="20" t="n">
        <f aca="false">I39*$B$7*(1+$E$6)</f>
        <v>65944.3201580284</v>
      </c>
      <c r="K39" s="20" t="n">
        <f aca="false">J39*$B$10+$B$11*(1+$H$6)</f>
        <v>61486.0800395071</v>
      </c>
      <c r="L39" s="20" t="n">
        <f aca="false">J39-K39</f>
        <v>4458.24011852127</v>
      </c>
      <c r="M39" s="20" t="n">
        <f aca="false">M38+L39</f>
        <v>204350.344859368</v>
      </c>
      <c r="N39" s="32" t="n">
        <f aca="false">IF(M39&lt;0,$A39,999)</f>
        <v>999</v>
      </c>
      <c r="O39" s="32" t="n">
        <f aca="false">IF(L39&gt;=0,$A39,999)</f>
        <v>19</v>
      </c>
      <c r="P39" s="31" t="n">
        <f aca="false">P38*(1+$F$7-$G$7)</f>
        <v>438.376513269275</v>
      </c>
      <c r="Q39" s="20" t="n">
        <f aca="false">P39*$B$7*(1+$E$7)</f>
        <v>65756.4769903913</v>
      </c>
      <c r="R39" s="20" t="n">
        <f aca="false">Q39*$B$10+$B$11*(1+$H$7)</f>
        <v>56939.1192475978</v>
      </c>
      <c r="S39" s="20" t="n">
        <f aca="false">Q39-R39</f>
        <v>8817.35774279348</v>
      </c>
      <c r="T39" s="20" t="n">
        <f aca="false">T38+S39</f>
        <v>258104.282502576</v>
      </c>
      <c r="U39" s="32" t="n">
        <f aca="false">IF(T39&lt;0,$A39,999)</f>
        <v>999</v>
      </c>
      <c r="V39" s="32" t="n">
        <f aca="false">IF(S39&gt;=0,$A39,999)</f>
        <v>19</v>
      </c>
      <c r="W39" s="31" t="n">
        <f aca="false">W38*(1+$F$8-$G$8)</f>
        <v>140.153181166687</v>
      </c>
      <c r="X39" s="20" t="n">
        <f aca="false">W39*$B$7*(1+$E$8)</f>
        <v>21022.9771750031</v>
      </c>
      <c r="Y39" s="20" t="n">
        <f aca="false">X39*$B$10+$B$11*(1+$H$8)</f>
        <v>50255.7442937508</v>
      </c>
      <c r="Z39" s="20" t="n">
        <f aca="false">X39-Y39</f>
        <v>-29232.7671187477</v>
      </c>
      <c r="AA39" s="20" t="n">
        <f aca="false">AA38+Z39</f>
        <v>-155432.196493826</v>
      </c>
      <c r="AB39" s="32" t="n">
        <f aca="false">IF(AA39&lt;0,$A39,999)</f>
        <v>19</v>
      </c>
      <c r="AC39" s="32" t="n">
        <f aca="false">IF(Z39&gt;=0,$A39,999)</f>
        <v>999</v>
      </c>
    </row>
    <row r="40" customFormat="false" ht="15" hidden="false" customHeight="false" outlineLevel="0" collapsed="false">
      <c r="A40" s="4" t="n">
        <v>20</v>
      </c>
      <c r="B40" s="31" t="n">
        <f aca="false">B39*(1+$F$5-$G$5)</f>
        <v>451.527808667354</v>
      </c>
      <c r="C40" s="20" t="n">
        <f aca="false">B40*$B$7*(1+$E$5)</f>
        <v>67729.171300103</v>
      </c>
      <c r="D40" s="20" t="n">
        <f aca="false">C40*$B$10+$B$11*(1+$H$5)</f>
        <v>61932.2928250258</v>
      </c>
      <c r="E40" s="20" t="n">
        <f aca="false">C40-D40</f>
        <v>5796.87847507728</v>
      </c>
      <c r="F40" s="20" t="n">
        <f aca="false">F39+E40</f>
        <v>178401.160977653</v>
      </c>
      <c r="G40" s="32" t="n">
        <f aca="false">IF(F40&lt;0,$A40,999)</f>
        <v>999</v>
      </c>
      <c r="H40" s="32" t="n">
        <f aca="false">IF(E40&gt;=0,$A40,999)</f>
        <v>20</v>
      </c>
      <c r="I40" s="31" t="n">
        <f aca="false">I39*(1+$F$6-$G$6)</f>
        <v>409.654110072601</v>
      </c>
      <c r="J40" s="20" t="n">
        <f aca="false">I40*$B$7*(1+$E$6)</f>
        <v>67592.9281619791</v>
      </c>
      <c r="K40" s="20" t="n">
        <f aca="false">J40*$B$10+$B$11*(1+$H$6)</f>
        <v>61898.2320404948</v>
      </c>
      <c r="L40" s="20" t="n">
        <f aca="false">J40-K40</f>
        <v>5694.69612148432</v>
      </c>
      <c r="M40" s="20" t="n">
        <f aca="false">M39+L40</f>
        <v>210045.040980852</v>
      </c>
      <c r="N40" s="32" t="n">
        <f aca="false">IF(M40&lt;0,$A40,999)</f>
        <v>999</v>
      </c>
      <c r="O40" s="32" t="n">
        <f aca="false">IF(L40&gt;=0,$A40,999)</f>
        <v>20</v>
      </c>
      <c r="P40" s="31" t="n">
        <f aca="false">P39*(1+$F$7-$G$7)</f>
        <v>451.527808667354</v>
      </c>
      <c r="Q40" s="20" t="n">
        <f aca="false">P40*$B$7*(1+$E$7)</f>
        <v>67729.171300103</v>
      </c>
      <c r="R40" s="20" t="n">
        <f aca="false">Q40*$B$10+$B$11*(1+$H$7)</f>
        <v>57432.2928250258</v>
      </c>
      <c r="S40" s="20" t="n">
        <f aca="false">Q40-R40</f>
        <v>10296.8784750773</v>
      </c>
      <c r="T40" s="20" t="n">
        <f aca="false">T39+S40</f>
        <v>268401.160977653</v>
      </c>
      <c r="U40" s="32" t="n">
        <f aca="false">IF(T40&lt;0,$A40,999)</f>
        <v>999</v>
      </c>
      <c r="V40" s="32" t="n">
        <f aca="false">IF(S40&gt;=0,$A40,999)</f>
        <v>20</v>
      </c>
      <c r="W40" s="31" t="n">
        <f aca="false">W39*(1+$F$8-$G$8)</f>
        <v>135.948585731687</v>
      </c>
      <c r="X40" s="20" t="n">
        <f aca="false">W40*$B$7*(1+$E$8)</f>
        <v>20392.287859753</v>
      </c>
      <c r="Y40" s="20" t="n">
        <f aca="false">X40*$B$10+$B$11*(1+$H$8)</f>
        <v>50098.0719649383</v>
      </c>
      <c r="Z40" s="20" t="n">
        <f aca="false">X40-Y40</f>
        <v>-29705.7841051852</v>
      </c>
      <c r="AA40" s="20" t="n">
        <f aca="false">AA39+Z40</f>
        <v>-185137.980599011</v>
      </c>
      <c r="AB40" s="32" t="n">
        <f aca="false">IF(AA40&lt;0,$A40,999)</f>
        <v>20</v>
      </c>
      <c r="AC40" s="32" t="n">
        <f aca="false">IF(Z40&gt;=0,$A40,999)</f>
        <v>999</v>
      </c>
    </row>
    <row r="41" customFormat="false" ht="15" hidden="false" customHeight="false" outlineLevel="0" collapsed="false">
      <c r="A41" s="4" t="n">
        <v>21</v>
      </c>
      <c r="B41" s="31" t="n">
        <f aca="false">B40*(1+$F$5-$G$5)</f>
        <v>465.073642927374</v>
      </c>
      <c r="C41" s="20" t="n">
        <f aca="false">B41*$B$7*(1+$E$5)</f>
        <v>69761.0464391061</v>
      </c>
      <c r="D41" s="20" t="n">
        <f aca="false">C41*$B$10+$B$11*(1+$H$5)</f>
        <v>62440.2616097765</v>
      </c>
      <c r="E41" s="20" t="n">
        <f aca="false">C41-D41</f>
        <v>7320.78482932961</v>
      </c>
      <c r="F41" s="20" t="n">
        <f aca="false">F40+E41</f>
        <v>185721.945806983</v>
      </c>
      <c r="G41" s="32" t="n">
        <f aca="false">IF(F41&lt;0,$A41,999)</f>
        <v>999</v>
      </c>
      <c r="H41" s="32" t="n">
        <f aca="false">IF(E41&gt;=0,$A41,999)</f>
        <v>21</v>
      </c>
      <c r="I41" s="31" t="n">
        <f aca="false">I40*(1+$F$6-$G$6)</f>
        <v>419.895462824416</v>
      </c>
      <c r="J41" s="20" t="n">
        <f aca="false">I41*$B$7*(1+$E$6)</f>
        <v>69282.7513660286</v>
      </c>
      <c r="K41" s="20" t="n">
        <f aca="false">J41*$B$10+$B$11*(1+$H$6)</f>
        <v>62320.6878415071</v>
      </c>
      <c r="L41" s="20" t="n">
        <f aca="false">J41-K41</f>
        <v>6962.06352452142</v>
      </c>
      <c r="M41" s="20" t="n">
        <f aca="false">M40+L41</f>
        <v>217007.104505373</v>
      </c>
      <c r="N41" s="32" t="n">
        <f aca="false">IF(M41&lt;0,$A41,999)</f>
        <v>999</v>
      </c>
      <c r="O41" s="32" t="n">
        <f aca="false">IF(L41&gt;=0,$A41,999)</f>
        <v>21</v>
      </c>
      <c r="P41" s="31" t="n">
        <f aca="false">P40*(1+$F$7-$G$7)</f>
        <v>465.073642927374</v>
      </c>
      <c r="Q41" s="20" t="n">
        <f aca="false">P41*$B$7*(1+$E$7)</f>
        <v>69761.0464391061</v>
      </c>
      <c r="R41" s="20" t="n">
        <f aca="false">Q41*$B$10+$B$11*(1+$H$7)</f>
        <v>57940.2616097765</v>
      </c>
      <c r="S41" s="20" t="n">
        <f aca="false">Q41-R41</f>
        <v>11820.7848293296</v>
      </c>
      <c r="T41" s="20" t="n">
        <f aca="false">T40+S41</f>
        <v>280221.945806982</v>
      </c>
      <c r="U41" s="32" t="n">
        <f aca="false">IF(T41&lt;0,$A41,999)</f>
        <v>999</v>
      </c>
      <c r="V41" s="32" t="n">
        <f aca="false">IF(S41&gt;=0,$A41,999)</f>
        <v>21</v>
      </c>
      <c r="W41" s="31" t="n">
        <f aca="false">W40*(1+$F$8-$G$8)</f>
        <v>131.870128159736</v>
      </c>
      <c r="X41" s="20" t="n">
        <f aca="false">W41*$B$7*(1+$E$8)</f>
        <v>19780.5192239604</v>
      </c>
      <c r="Y41" s="20" t="n">
        <f aca="false">X41*$B$10+$B$11*(1+$H$8)</f>
        <v>49945.1298059901</v>
      </c>
      <c r="Z41" s="20" t="n">
        <f aca="false">X41-Y41</f>
        <v>-30164.6105820297</v>
      </c>
      <c r="AA41" s="20" t="n">
        <f aca="false">AA40+Z41</f>
        <v>-215302.591181041</v>
      </c>
      <c r="AB41" s="32" t="n">
        <f aca="false">IF(AA41&lt;0,$A41,999)</f>
        <v>21</v>
      </c>
      <c r="AC41" s="32" t="n">
        <f aca="false">IF(Z41&gt;=0,$A41,999)</f>
        <v>999</v>
      </c>
    </row>
    <row r="42" customFormat="false" ht="15" hidden="false" customHeight="false" outlineLevel="0" collapsed="false">
      <c r="A42" s="4" t="n">
        <v>22</v>
      </c>
      <c r="B42" s="31" t="n">
        <f aca="false">B41*(1+$F$5-$G$5)</f>
        <v>479.025852215196</v>
      </c>
      <c r="C42" s="20" t="n">
        <f aca="false">B42*$B$7*(1+$E$5)</f>
        <v>71853.8778322793</v>
      </c>
      <c r="D42" s="20" t="n">
        <f aca="false">C42*$B$10+$B$11*(1+$H$5)</f>
        <v>62963.4694580698</v>
      </c>
      <c r="E42" s="20" t="n">
        <f aca="false">C42-D42</f>
        <v>8890.4083742095</v>
      </c>
      <c r="F42" s="20" t="n">
        <f aca="false">F41+E42</f>
        <v>194612.354181192</v>
      </c>
      <c r="G42" s="32" t="n">
        <f aca="false">IF(F42&lt;0,$A42,999)</f>
        <v>999</v>
      </c>
      <c r="H42" s="32" t="n">
        <f aca="false">IF(E42&gt;=0,$A42,999)</f>
        <v>22</v>
      </c>
      <c r="I42" s="31" t="n">
        <f aca="false">I41*(1+$F$6-$G$6)</f>
        <v>430.392849395026</v>
      </c>
      <c r="J42" s="20" t="n">
        <f aca="false">I42*$B$7*(1+$E$6)</f>
        <v>71014.8201501793</v>
      </c>
      <c r="K42" s="20" t="n">
        <f aca="false">J42*$B$10+$B$11*(1+$H$6)</f>
        <v>62753.7050375448</v>
      </c>
      <c r="L42" s="20" t="n">
        <f aca="false">J42-K42</f>
        <v>8261.11511263446</v>
      </c>
      <c r="M42" s="20" t="n">
        <f aca="false">M41+L42</f>
        <v>225268.219618008</v>
      </c>
      <c r="N42" s="32" t="n">
        <f aca="false">IF(M42&lt;0,$A42,999)</f>
        <v>999</v>
      </c>
      <c r="O42" s="32" t="n">
        <f aca="false">IF(L42&gt;=0,$A42,999)</f>
        <v>22</v>
      </c>
      <c r="P42" s="31" t="n">
        <f aca="false">P41*(1+$F$7-$G$7)</f>
        <v>479.025852215196</v>
      </c>
      <c r="Q42" s="20" t="n">
        <f aca="false">P42*$B$7*(1+$E$7)</f>
        <v>71853.8778322793</v>
      </c>
      <c r="R42" s="20" t="n">
        <f aca="false">Q42*$B$10+$B$11*(1+$H$7)</f>
        <v>58463.4694580698</v>
      </c>
      <c r="S42" s="20" t="n">
        <f aca="false">Q42-R42</f>
        <v>13390.4083742095</v>
      </c>
      <c r="T42" s="20" t="n">
        <f aca="false">T41+S42</f>
        <v>293612.354181192</v>
      </c>
      <c r="U42" s="32" t="n">
        <f aca="false">IF(T42&lt;0,$A42,999)</f>
        <v>999</v>
      </c>
      <c r="V42" s="32" t="n">
        <f aca="false">IF(S42&gt;=0,$A42,999)</f>
        <v>22</v>
      </c>
      <c r="W42" s="31" t="n">
        <f aca="false">W41*(1+$F$8-$G$8)</f>
        <v>127.914024314944</v>
      </c>
      <c r="X42" s="20" t="n">
        <f aca="false">W42*$B$7*(1+$E$8)</f>
        <v>19187.1036472416</v>
      </c>
      <c r="Y42" s="20" t="n">
        <f aca="false">X42*$B$10+$B$11*(1+$H$8)</f>
        <v>49796.7759118104</v>
      </c>
      <c r="Z42" s="20" t="n">
        <f aca="false">X42-Y42</f>
        <v>-30609.6722645688</v>
      </c>
      <c r="AA42" s="20" t="n">
        <f aca="false">AA41+Z42</f>
        <v>-245912.263445609</v>
      </c>
      <c r="AB42" s="32" t="n">
        <f aca="false">IF(AA42&lt;0,$A42,999)</f>
        <v>22</v>
      </c>
      <c r="AC42" s="32" t="n">
        <f aca="false">IF(Z42&gt;=0,$A42,999)</f>
        <v>999</v>
      </c>
    </row>
    <row r="43" customFormat="false" ht="15" hidden="false" customHeight="false" outlineLevel="0" collapsed="false">
      <c r="A43" s="4" t="n">
        <v>23</v>
      </c>
      <c r="B43" s="31" t="n">
        <f aca="false">B42*(1+$F$5-$G$5)</f>
        <v>493.396627781651</v>
      </c>
      <c r="C43" s="20" t="n">
        <f aca="false">B43*$B$7*(1+$E$5)</f>
        <v>74009.4941672477</v>
      </c>
      <c r="D43" s="20" t="n">
        <f aca="false">C43*$B$10+$B$11*(1+$H$5)</f>
        <v>63502.3735418119</v>
      </c>
      <c r="E43" s="20" t="n">
        <f aca="false">C43-D43</f>
        <v>10507.1206254358</v>
      </c>
      <c r="F43" s="20" t="n">
        <f aca="false">F42+E43</f>
        <v>205119.474806628</v>
      </c>
      <c r="G43" s="32" t="n">
        <f aca="false">IF(F43&lt;0,$A43,999)</f>
        <v>999</v>
      </c>
      <c r="H43" s="32" t="n">
        <f aca="false">IF(E43&gt;=0,$A43,999)</f>
        <v>23</v>
      </c>
      <c r="I43" s="31" t="n">
        <f aca="false">I42*(1+$F$6-$G$6)</f>
        <v>441.152670629902</v>
      </c>
      <c r="J43" s="20" t="n">
        <f aca="false">I43*$B$7*(1+$E$6)</f>
        <v>72790.1906539338</v>
      </c>
      <c r="K43" s="20" t="n">
        <f aca="false">J43*$B$10+$B$11*(1+$H$6)</f>
        <v>63197.5476634835</v>
      </c>
      <c r="L43" s="20" t="n">
        <f aca="false">J43-K43</f>
        <v>9592.64299045033</v>
      </c>
      <c r="M43" s="20" t="n">
        <f aca="false">M42+L43</f>
        <v>234860.862608458</v>
      </c>
      <c r="N43" s="32" t="n">
        <f aca="false">IF(M43&lt;0,$A43,999)</f>
        <v>999</v>
      </c>
      <c r="O43" s="32" t="n">
        <f aca="false">IF(L43&gt;=0,$A43,999)</f>
        <v>23</v>
      </c>
      <c r="P43" s="31" t="n">
        <f aca="false">P42*(1+$F$7-$G$7)</f>
        <v>493.396627781651</v>
      </c>
      <c r="Q43" s="20" t="n">
        <f aca="false">P43*$B$7*(1+$E$7)</f>
        <v>74009.4941672477</v>
      </c>
      <c r="R43" s="20" t="n">
        <f aca="false">Q43*$B$10+$B$11*(1+$H$7)</f>
        <v>59002.3735418119</v>
      </c>
      <c r="S43" s="20" t="n">
        <f aca="false">Q43-R43</f>
        <v>15007.1206254358</v>
      </c>
      <c r="T43" s="20" t="n">
        <f aca="false">T42+S43</f>
        <v>308619.474806628</v>
      </c>
      <c r="U43" s="32" t="n">
        <f aca="false">IF(T43&lt;0,$A43,999)</f>
        <v>999</v>
      </c>
      <c r="V43" s="32" t="n">
        <f aca="false">IF(S43&gt;=0,$A43,999)</f>
        <v>23</v>
      </c>
      <c r="W43" s="31" t="n">
        <f aca="false">W42*(1+$F$8-$G$8)</f>
        <v>124.076603585496</v>
      </c>
      <c r="X43" s="20" t="n">
        <f aca="false">W43*$B$7*(1+$E$8)</f>
        <v>18611.4905378244</v>
      </c>
      <c r="Y43" s="20" t="n">
        <f aca="false">X43*$B$10+$B$11*(1+$H$8)</f>
        <v>49652.8726344561</v>
      </c>
      <c r="Z43" s="20" t="n">
        <f aca="false">X43-Y43</f>
        <v>-31041.3820966317</v>
      </c>
      <c r="AA43" s="20" t="n">
        <f aca="false">AA42+Z43</f>
        <v>-276953.645542241</v>
      </c>
      <c r="AB43" s="32" t="n">
        <f aca="false">IF(AA43&lt;0,$A43,999)</f>
        <v>23</v>
      </c>
      <c r="AC43" s="32" t="n">
        <f aca="false">IF(Z43&gt;=0,$A43,999)</f>
        <v>999</v>
      </c>
    </row>
    <row r="44" customFormat="false" ht="15" hidden="false" customHeight="false" outlineLevel="0" collapsed="false">
      <c r="A44" s="4" t="n">
        <v>24</v>
      </c>
      <c r="B44" s="31" t="n">
        <f aca="false">B43*(1+$F$5-$G$5)</f>
        <v>508.198526615101</v>
      </c>
      <c r="C44" s="20" t="n">
        <f aca="false">B44*$B$7*(1+$E$5)</f>
        <v>76229.7789922652</v>
      </c>
      <c r="D44" s="20" t="n">
        <f aca="false">C44*$B$10+$B$11*(1+$H$5)</f>
        <v>64057.4447480663</v>
      </c>
      <c r="E44" s="20" t="n">
        <f aca="false">C44-D44</f>
        <v>12172.3342441989</v>
      </c>
      <c r="F44" s="20" t="n">
        <f aca="false">F43+E44</f>
        <v>217291.809050827</v>
      </c>
      <c r="G44" s="32" t="n">
        <f aca="false">IF(F44&lt;0,$A44,999)</f>
        <v>999</v>
      </c>
      <c r="H44" s="32" t="n">
        <f aca="false">IF(E44&gt;=0,$A44,999)</f>
        <v>24</v>
      </c>
      <c r="I44" s="31" t="n">
        <f aca="false">I43*(1+$F$6-$G$6)</f>
        <v>452.181487395649</v>
      </c>
      <c r="J44" s="20" t="n">
        <f aca="false">I44*$B$7*(1+$E$6)</f>
        <v>74609.9454202821</v>
      </c>
      <c r="K44" s="20" t="n">
        <f aca="false">J44*$B$10+$B$11*(1+$H$6)</f>
        <v>63652.4863550705</v>
      </c>
      <c r="L44" s="20" t="n">
        <f aca="false">J44-K44</f>
        <v>10957.4590652116</v>
      </c>
      <c r="M44" s="20" t="n">
        <f aca="false">M43+L44</f>
        <v>245818.32167367</v>
      </c>
      <c r="N44" s="32" t="n">
        <f aca="false">IF(M44&lt;0,$A44,999)</f>
        <v>999</v>
      </c>
      <c r="O44" s="32" t="n">
        <f aca="false">IF(L44&gt;=0,$A44,999)</f>
        <v>24</v>
      </c>
      <c r="P44" s="31" t="n">
        <f aca="false">P43*(1+$F$7-$G$7)</f>
        <v>508.198526615101</v>
      </c>
      <c r="Q44" s="20" t="n">
        <f aca="false">P44*$B$7*(1+$E$7)</f>
        <v>76229.7789922652</v>
      </c>
      <c r="R44" s="20" t="n">
        <f aca="false">Q44*$B$10+$B$11*(1+$H$7)</f>
        <v>59557.4447480663</v>
      </c>
      <c r="S44" s="20" t="n">
        <f aca="false">Q44-R44</f>
        <v>16672.3342441989</v>
      </c>
      <c r="T44" s="20" t="n">
        <f aca="false">T43+S44</f>
        <v>325291.809050827</v>
      </c>
      <c r="U44" s="32" t="n">
        <f aca="false">IF(T44&lt;0,$A44,999)</f>
        <v>999</v>
      </c>
      <c r="V44" s="32" t="n">
        <f aca="false">IF(S44&gt;=0,$A44,999)</f>
        <v>24</v>
      </c>
      <c r="W44" s="31" t="n">
        <f aca="false">W43*(1+$F$8-$G$8)</f>
        <v>120.354305477931</v>
      </c>
      <c r="X44" s="20" t="n">
        <f aca="false">W44*$B$7*(1+$E$8)</f>
        <v>18053.1458216896</v>
      </c>
      <c r="Y44" s="20" t="n">
        <f aca="false">X44*$B$10+$B$11*(1+$H$8)</f>
        <v>49513.2864554224</v>
      </c>
      <c r="Z44" s="20" t="n">
        <f aca="false">X44-Y44</f>
        <v>-31460.1406337328</v>
      </c>
      <c r="AA44" s="20" t="n">
        <f aca="false">AA43+Z44</f>
        <v>-308413.786175974</v>
      </c>
      <c r="AB44" s="32" t="n">
        <f aca="false">IF(AA44&lt;0,$A44,999)</f>
        <v>24</v>
      </c>
      <c r="AC44" s="32" t="n">
        <f aca="false">IF(Z44&gt;=0,$A44,999)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4" customFormat="false" ht="15" hidden="false" customHeight="false" outlineLevel="0" collapsed="false">
      <c r="A4" s="3" t="s">
        <v>180</v>
      </c>
      <c r="B4" s="3" t="s">
        <v>3</v>
      </c>
    </row>
    <row r="5" customFormat="false" ht="15" hidden="false" customHeight="false" outlineLevel="0" collapsed="false">
      <c r="A5" s="4" t="s">
        <v>181</v>
      </c>
      <c r="B5" s="31" t="n">
        <v>1000</v>
      </c>
    </row>
    <row r="6" customFormat="false" ht="15" hidden="false" customHeight="false" outlineLevel="0" collapsed="false">
      <c r="A6" s="4" t="s">
        <v>182</v>
      </c>
      <c r="B6" s="33" t="n">
        <v>0.88</v>
      </c>
    </row>
    <row r="7" customFormat="false" ht="15" hidden="false" customHeight="false" outlineLevel="0" collapsed="false">
      <c r="A7" s="4" t="s">
        <v>183</v>
      </c>
      <c r="B7" s="18" t="n">
        <v>0.746</v>
      </c>
    </row>
    <row r="8" customFormat="false" ht="15" hidden="false" customHeight="false" outlineLevel="0" collapsed="false">
      <c r="A8" s="4" t="s">
        <v>184</v>
      </c>
      <c r="B8" s="20" t="n">
        <v>-13994.2561517062</v>
      </c>
    </row>
    <row r="9" customFormat="false" ht="15" hidden="false" customHeight="false" outlineLevel="0" collapsed="false">
      <c r="A9" s="4" t="s">
        <v>185</v>
      </c>
      <c r="B9" s="20" t="n">
        <v>221752.534258649</v>
      </c>
    </row>
    <row r="10" customFormat="false" ht="15" hidden="false" customHeight="false" outlineLevel="0" collapsed="false">
      <c r="A10" s="4" t="s">
        <v>186</v>
      </c>
      <c r="B10" s="20" t="n">
        <v>537479.029202344</v>
      </c>
    </row>
    <row r="13" customFormat="false" ht="26.85" hidden="false" customHeight="false" outlineLevel="0" collapsed="false">
      <c r="A13" s="3" t="s">
        <v>170</v>
      </c>
      <c r="B13" s="3" t="s">
        <v>187</v>
      </c>
      <c r="C13" s="3" t="s">
        <v>188</v>
      </c>
      <c r="D13" s="3" t="s">
        <v>189</v>
      </c>
      <c r="E13" s="3" t="s">
        <v>190</v>
      </c>
      <c r="F13" s="3" t="s">
        <v>191</v>
      </c>
    </row>
    <row r="14" customFormat="false" ht="15" hidden="false" customHeight="false" outlineLevel="0" collapsed="false">
      <c r="A14" s="4" t="n">
        <v>1</v>
      </c>
      <c r="B14" s="20" t="n">
        <v>283278.313455404</v>
      </c>
      <c r="C14" s="20" t="n">
        <v>283606.434274778</v>
      </c>
      <c r="D14" s="20" t="n">
        <v>283955.04844141</v>
      </c>
      <c r="E14" s="20" t="n">
        <v>284311.156633706</v>
      </c>
      <c r="F14" s="20" t="n">
        <v>284624.699958529</v>
      </c>
    </row>
    <row r="15" customFormat="false" ht="15" hidden="false" customHeight="false" outlineLevel="0" collapsed="false">
      <c r="A15" s="4" t="n">
        <v>2</v>
      </c>
      <c r="B15" s="20" t="n">
        <v>266919.351390576</v>
      </c>
      <c r="C15" s="20" t="n">
        <v>267791.413619088</v>
      </c>
      <c r="D15" s="20" t="n">
        <v>268752.245961175</v>
      </c>
      <c r="E15" s="20" t="n">
        <v>269823.98785859</v>
      </c>
      <c r="F15" s="20" t="n">
        <v>270740.401964018</v>
      </c>
    </row>
    <row r="16" customFormat="false" ht="15" hidden="false" customHeight="false" outlineLevel="0" collapsed="false">
      <c r="A16" s="4" t="n">
        <v>3</v>
      </c>
      <c r="B16" s="20" t="n">
        <v>250824.541218165</v>
      </c>
      <c r="C16" s="20" t="n">
        <v>252562.771721145</v>
      </c>
      <c r="D16" s="20" t="n">
        <v>254480.214609974</v>
      </c>
      <c r="E16" s="20" t="n">
        <v>256519.203152275</v>
      </c>
      <c r="F16" s="20" t="n">
        <v>258383.136643658</v>
      </c>
    </row>
    <row r="17" customFormat="false" ht="15" hidden="false" customHeight="false" outlineLevel="0" collapsed="false">
      <c r="A17" s="4" t="n">
        <v>4</v>
      </c>
      <c r="B17" s="20" t="n">
        <v>234946.858421416</v>
      </c>
      <c r="C17" s="20" t="n">
        <v>238015.250559749</v>
      </c>
      <c r="D17" s="20" t="n">
        <v>241179.772799823</v>
      </c>
      <c r="E17" s="20" t="n">
        <v>244438.666715111</v>
      </c>
      <c r="F17" s="20" t="n">
        <v>247743.622380614</v>
      </c>
    </row>
    <row r="18" customFormat="false" ht="15" hidden="false" customHeight="false" outlineLevel="0" collapsed="false">
      <c r="A18" s="4" t="n">
        <v>5</v>
      </c>
      <c r="B18" s="20" t="n">
        <v>219409.879471473</v>
      </c>
      <c r="C18" s="20" t="n">
        <v>224021.81305143</v>
      </c>
      <c r="D18" s="20" t="n">
        <v>228913.182985958</v>
      </c>
      <c r="E18" s="20" t="n">
        <v>233867.226311013</v>
      </c>
      <c r="F18" s="20" t="n">
        <v>238825.182755501</v>
      </c>
    </row>
    <row r="19" customFormat="false" ht="15" hidden="false" customHeight="false" outlineLevel="0" collapsed="false">
      <c r="A19" s="4" t="n">
        <v>6</v>
      </c>
      <c r="B19" s="20" t="n">
        <v>204445.211906426</v>
      </c>
      <c r="C19" s="20" t="n">
        <v>210434.571980027</v>
      </c>
      <c r="D19" s="20" t="n">
        <v>217663.280379433</v>
      </c>
      <c r="E19" s="20" t="n">
        <v>224675.454063762</v>
      </c>
      <c r="F19" s="20" t="n">
        <v>231675.705037508</v>
      </c>
    </row>
    <row r="20" customFormat="false" ht="15" hidden="false" customHeight="false" outlineLevel="0" collapsed="false">
      <c r="A20" s="4" t="n">
        <v>7</v>
      </c>
      <c r="B20" s="20" t="n">
        <v>189800.751988383</v>
      </c>
      <c r="C20" s="20" t="n">
        <v>197573.250034407</v>
      </c>
      <c r="D20" s="20" t="n">
        <v>207429.074679693</v>
      </c>
      <c r="E20" s="20" t="n">
        <v>216873.70251812</v>
      </c>
      <c r="F20" s="20" t="n">
        <v>226280.56428274</v>
      </c>
    </row>
    <row r="21" customFormat="false" ht="15" hidden="false" customHeight="false" outlineLevel="0" collapsed="false">
      <c r="A21" s="4" t="n">
        <v>8</v>
      </c>
      <c r="B21" s="20" t="n">
        <v>175394.379168668</v>
      </c>
      <c r="C21" s="20" t="n">
        <v>185400.584978731</v>
      </c>
      <c r="D21" s="20" t="n">
        <v>198286.769042046</v>
      </c>
      <c r="E21" s="20" t="n">
        <v>210437.195068403</v>
      </c>
      <c r="F21" s="20" t="n">
        <v>222569.726155778</v>
      </c>
    </row>
    <row r="22" customFormat="false" ht="15" hidden="false" customHeight="false" outlineLevel="0" collapsed="false">
      <c r="A22" s="4" t="n">
        <v>9</v>
      </c>
      <c r="B22" s="20" t="n">
        <v>161205.887060302</v>
      </c>
      <c r="C22" s="20" t="n">
        <v>173987.935218337</v>
      </c>
      <c r="D22" s="20" t="n">
        <v>190114.992822404</v>
      </c>
      <c r="E22" s="20" t="n">
        <v>205470.194185395</v>
      </c>
      <c r="F22" s="20" t="n">
        <v>221474.029250079</v>
      </c>
    </row>
    <row r="23" customFormat="false" ht="15" hidden="false" customHeight="false" outlineLevel="0" collapsed="false">
      <c r="A23" s="4" t="n">
        <v>10</v>
      </c>
      <c r="B23" s="20" t="n">
        <v>147345.591560399</v>
      </c>
      <c r="C23" s="20" t="n">
        <v>162832.807053101</v>
      </c>
      <c r="D23" s="20" t="n">
        <v>183008.330026796</v>
      </c>
      <c r="E23" s="20" t="n">
        <v>202353.915122047</v>
      </c>
      <c r="F23" s="20" t="n">
        <v>222276.025138175</v>
      </c>
    </row>
    <row r="24" customFormat="false" ht="15" hidden="false" customHeight="false" outlineLevel="0" collapsed="false">
      <c r="A24" s="4" t="n">
        <v>11</v>
      </c>
      <c r="B24" s="20" t="n">
        <v>133921.029489227</v>
      </c>
      <c r="C24" s="20" t="n">
        <v>152734.201487144</v>
      </c>
      <c r="D24" s="20" t="n">
        <v>176953.073091698</v>
      </c>
      <c r="E24" s="20" t="n">
        <v>200909.266744485</v>
      </c>
      <c r="F24" s="20" t="n">
        <v>224784.651042409</v>
      </c>
    </row>
    <row r="25" customFormat="false" ht="15" hidden="false" customHeight="false" outlineLevel="0" collapsed="false">
      <c r="A25" s="4" t="n">
        <v>12</v>
      </c>
      <c r="B25" s="20" t="n">
        <v>120608.378101874</v>
      </c>
      <c r="C25" s="20" t="n">
        <v>143039.211968551</v>
      </c>
      <c r="D25" s="20" t="n">
        <v>172294.988797324</v>
      </c>
      <c r="E25" s="20" t="n">
        <v>201467.559876373</v>
      </c>
      <c r="F25" s="20" t="n">
        <v>230400.891585706</v>
      </c>
    </row>
    <row r="26" customFormat="false" ht="15" hidden="false" customHeight="false" outlineLevel="0" collapsed="false">
      <c r="A26" s="4" t="n">
        <v>13</v>
      </c>
      <c r="B26" s="20" t="n">
        <v>107590.642169698</v>
      </c>
      <c r="C26" s="20" t="n">
        <v>133828.591838716</v>
      </c>
      <c r="D26" s="20" t="n">
        <v>168379.552858966</v>
      </c>
      <c r="E26" s="20" t="n">
        <v>203887.530521546</v>
      </c>
      <c r="F26" s="20" t="n">
        <v>238776.255184602</v>
      </c>
    </row>
    <row r="27" customFormat="false" ht="15" hidden="false" customHeight="false" outlineLevel="0" collapsed="false">
      <c r="A27" s="4" t="n">
        <v>14</v>
      </c>
      <c r="B27" s="20" t="n">
        <v>94899.9040073781</v>
      </c>
      <c r="C27" s="20" t="n">
        <v>125160.889798924</v>
      </c>
      <c r="D27" s="20" t="n">
        <v>165949.203179767</v>
      </c>
      <c r="E27" s="20" t="n">
        <v>208219.478367309</v>
      </c>
      <c r="F27" s="20" t="n">
        <v>249747.417072308</v>
      </c>
    </row>
    <row r="28" customFormat="false" ht="15" hidden="false" customHeight="false" outlineLevel="0" collapsed="false">
      <c r="A28" s="4" t="n">
        <v>15</v>
      </c>
      <c r="B28" s="20" t="n">
        <v>81914.0519392617</v>
      </c>
      <c r="C28" s="20" t="n">
        <v>117574.154248245</v>
      </c>
      <c r="D28" s="20" t="n">
        <v>165312.171986912</v>
      </c>
      <c r="E28" s="20" t="n">
        <v>214329.285345514</v>
      </c>
      <c r="F28" s="20" t="n">
        <v>262949.85233912</v>
      </c>
    </row>
    <row r="29" customFormat="false" ht="15" hidden="false" customHeight="false" outlineLevel="0" collapsed="false">
      <c r="A29" s="4" t="n">
        <v>16</v>
      </c>
      <c r="B29" s="20" t="n">
        <v>70709.6345832121</v>
      </c>
      <c r="C29" s="20" t="n">
        <v>110744.715458241</v>
      </c>
      <c r="D29" s="20" t="n">
        <v>165182.783817411</v>
      </c>
      <c r="E29" s="20" t="n">
        <v>222545.673110458</v>
      </c>
      <c r="F29" s="20" t="n">
        <v>279594.79257325</v>
      </c>
    </row>
    <row r="30" customFormat="false" ht="15" hidden="false" customHeight="false" outlineLevel="0" collapsed="false">
      <c r="A30" s="4" t="n">
        <v>17</v>
      </c>
      <c r="B30" s="20" t="n">
        <v>58632.6572177602</v>
      </c>
      <c r="C30" s="20" t="n">
        <v>104850.266706223</v>
      </c>
      <c r="D30" s="20" t="n">
        <v>166973.951796604</v>
      </c>
      <c r="E30" s="20" t="n">
        <v>232232.21424509</v>
      </c>
      <c r="F30" s="20" t="n">
        <v>299254.364315212</v>
      </c>
    </row>
    <row r="31" customFormat="false" ht="15" hidden="false" customHeight="false" outlineLevel="0" collapsed="false">
      <c r="A31" s="4" t="n">
        <v>18</v>
      </c>
      <c r="B31" s="20" t="n">
        <v>47297.0868957291</v>
      </c>
      <c r="C31" s="20" t="n">
        <v>99323.3294359762</v>
      </c>
      <c r="D31" s="20" t="n">
        <v>169815.680295185</v>
      </c>
      <c r="E31" s="20" t="n">
        <v>243977.441059229</v>
      </c>
      <c r="F31" s="20" t="n">
        <v>323224.66932271</v>
      </c>
    </row>
    <row r="32" customFormat="false" ht="15" hidden="false" customHeight="false" outlineLevel="0" collapsed="false">
      <c r="A32" s="4" t="n">
        <v>19</v>
      </c>
      <c r="B32" s="20" t="n">
        <v>36061.765526407</v>
      </c>
      <c r="C32" s="20" t="n">
        <v>94911.7169690116</v>
      </c>
      <c r="D32" s="20" t="n">
        <v>175084.217198127</v>
      </c>
      <c r="E32" s="20" t="n">
        <v>257936.647977157</v>
      </c>
      <c r="F32" s="20" t="n">
        <v>349672.993969599</v>
      </c>
    </row>
    <row r="33" customFormat="false" ht="15" hidden="false" customHeight="false" outlineLevel="0" collapsed="false">
      <c r="A33" s="4" t="n">
        <v>20</v>
      </c>
      <c r="B33" s="20" t="n">
        <v>24803.3707435091</v>
      </c>
      <c r="C33" s="20" t="n">
        <v>90791.0464293122</v>
      </c>
      <c r="D33" s="20" t="n">
        <v>181224.397558792</v>
      </c>
      <c r="E33" s="20" t="n">
        <v>274253.569860572</v>
      </c>
      <c r="F33" s="20" t="n">
        <v>379066.332495837</v>
      </c>
    </row>
    <row r="34" customFormat="false" ht="15" hidden="false" customHeight="false" outlineLevel="0" collapsed="false">
      <c r="A34" s="4" t="n">
        <v>21</v>
      </c>
      <c r="B34" s="20" t="n">
        <v>14220.282904403</v>
      </c>
      <c r="C34" s="20" t="n">
        <v>87412.4562059444</v>
      </c>
      <c r="D34" s="20" t="n">
        <v>188956.540958388</v>
      </c>
      <c r="E34" s="20" t="n">
        <v>293111.772139178</v>
      </c>
      <c r="F34" s="20" t="n">
        <v>413576.745761089</v>
      </c>
    </row>
    <row r="35" customFormat="false" ht="15" hidden="false" customHeight="false" outlineLevel="0" collapsed="false">
      <c r="A35" s="4" t="n">
        <v>22</v>
      </c>
      <c r="B35" s="20" t="n">
        <v>3972.58248790927</v>
      </c>
      <c r="C35" s="20" t="n">
        <v>85042.8780271459</v>
      </c>
      <c r="D35" s="20" t="n">
        <v>198451.367424074</v>
      </c>
      <c r="E35" s="20" t="n">
        <v>314773.096346779</v>
      </c>
      <c r="F35" s="20" t="n">
        <v>449695.215433931</v>
      </c>
    </row>
    <row r="36" customFormat="false" ht="15" hidden="false" customHeight="false" outlineLevel="0" collapsed="false">
      <c r="A36" s="4" t="n">
        <v>23</v>
      </c>
      <c r="B36" s="20" t="n">
        <v>-5020.48315397974</v>
      </c>
      <c r="C36" s="20" t="n">
        <v>83003.9349181176</v>
      </c>
      <c r="D36" s="20" t="n">
        <v>209824.749228395</v>
      </c>
      <c r="E36" s="20" t="n">
        <v>340325.32930674</v>
      </c>
      <c r="F36" s="20" t="n">
        <v>492153.262649722</v>
      </c>
    </row>
    <row r="37" customFormat="false" ht="15" hidden="false" customHeight="false" outlineLevel="0" collapsed="false">
      <c r="A37" s="4" t="n">
        <v>24</v>
      </c>
      <c r="B37" s="20" t="n">
        <v>-13994.2561517062</v>
      </c>
      <c r="C37" s="20" t="n">
        <v>82714.1430095813</v>
      </c>
      <c r="D37" s="20" t="n">
        <v>221752.534258649</v>
      </c>
      <c r="E37" s="20" t="n">
        <v>367996.521827365</v>
      </c>
      <c r="F37" s="20" t="n">
        <v>537479.029202344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7"/>
    <col collapsed="false" customWidth="true" hidden="false" outlineLevel="0" max="4" min="4" style="0" width="20"/>
    <col collapsed="false" customWidth="true" hidden="false" outlineLevel="0" max="7" min="5" style="0" width="17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26.85" hidden="false" customHeight="false" outlineLevel="0" collapsed="false">
      <c r="A4" s="3" t="s">
        <v>194</v>
      </c>
      <c r="B4" s="3" t="s">
        <v>195</v>
      </c>
      <c r="C4" s="3" t="s">
        <v>196</v>
      </c>
      <c r="D4" s="3" t="s">
        <v>16</v>
      </c>
    </row>
    <row r="5" customFormat="false" ht="15" hidden="false" customHeight="false" outlineLevel="0" collapsed="false">
      <c r="A5" s="4" t="s">
        <v>197</v>
      </c>
      <c r="B5" s="34" t="n">
        <v>20</v>
      </c>
      <c r="C5" s="34" t="n">
        <v>20</v>
      </c>
      <c r="D5" s="2" t="s">
        <v>198</v>
      </c>
    </row>
    <row r="6" customFormat="false" ht="15" hidden="false" customHeight="false" outlineLevel="0" collapsed="false">
      <c r="A6" s="4" t="s">
        <v>199</v>
      </c>
      <c r="B6" s="10" t="n">
        <v>0.15</v>
      </c>
      <c r="C6" s="12" t="n">
        <v>0.2</v>
      </c>
      <c r="D6" s="2" t="s">
        <v>200</v>
      </c>
    </row>
    <row r="7" customFormat="false" ht="15" hidden="false" customHeight="false" outlineLevel="0" collapsed="false">
      <c r="A7" s="4" t="s">
        <v>201</v>
      </c>
      <c r="B7" s="10" t="n">
        <v>0.92</v>
      </c>
      <c r="C7" s="12" t="n">
        <v>0.95</v>
      </c>
      <c r="D7" s="2" t="s">
        <v>202</v>
      </c>
    </row>
    <row r="8" customFormat="false" ht="15" hidden="false" customHeight="false" outlineLevel="0" collapsed="false">
      <c r="A8" s="4" t="s">
        <v>203</v>
      </c>
      <c r="B8" s="9" t="n">
        <v>33000</v>
      </c>
      <c r="C8" s="9" t="n">
        <v>33000</v>
      </c>
      <c r="D8" s="2" t="s">
        <v>204</v>
      </c>
    </row>
    <row r="9" customFormat="false" ht="15" hidden="false" customHeight="false" outlineLevel="0" collapsed="false">
      <c r="A9" s="4" t="s">
        <v>205</v>
      </c>
      <c r="B9" s="9" t="n">
        <v>6000</v>
      </c>
      <c r="C9" s="9" t="n">
        <v>6000</v>
      </c>
      <c r="D9" s="2" t="s">
        <v>206</v>
      </c>
    </row>
    <row r="10" customFormat="false" ht="15" hidden="false" customHeight="false" outlineLevel="0" collapsed="false">
      <c r="A10" s="4" t="s">
        <v>207</v>
      </c>
      <c r="B10" s="23" t="n">
        <f aca="false">Projection!$H$2+Assumptions!$B$13</f>
        <v>0.0562875</v>
      </c>
      <c r="C10" s="23" t="n">
        <f aca="false">Projection!$H$2+Assumptions!$B$13</f>
        <v>0.0562875</v>
      </c>
      <c r="D10" s="2" t="s">
        <v>208</v>
      </c>
    </row>
    <row r="11" customFormat="false" ht="15" hidden="false" customHeight="false" outlineLevel="0" collapsed="false">
      <c r="A11" s="4" t="s">
        <v>32</v>
      </c>
      <c r="B11" s="23" t="n">
        <f aca="false">Assumptions!$B$13</f>
        <v>0.01</v>
      </c>
      <c r="C11" s="23" t="n">
        <f aca="false">Assumptions!$B$13</f>
        <v>0.01</v>
      </c>
      <c r="D11" s="2" t="s">
        <v>209</v>
      </c>
    </row>
    <row r="12" customFormat="false" ht="15" hidden="false" customHeight="false" outlineLevel="0" collapsed="false">
      <c r="A12" s="4" t="s">
        <v>210</v>
      </c>
      <c r="B12" s="10" t="n">
        <v>0.2</v>
      </c>
      <c r="C12" s="12" t="n">
        <v>0.25</v>
      </c>
      <c r="D12" s="2" t="s">
        <v>211</v>
      </c>
    </row>
    <row r="13" customFormat="false" ht="15" hidden="false" customHeight="false" outlineLevel="0" collapsed="false">
      <c r="A13" s="4" t="s">
        <v>212</v>
      </c>
      <c r="B13" s="9" t="n">
        <v>50000</v>
      </c>
      <c r="C13" s="9" t="n">
        <v>50000</v>
      </c>
      <c r="D13" s="2" t="s">
        <v>213</v>
      </c>
    </row>
    <row r="14" customFormat="false" ht="15" hidden="false" customHeight="false" outlineLevel="0" collapsed="false">
      <c r="A14" s="4" t="s">
        <v>214</v>
      </c>
      <c r="B14" s="10" t="n">
        <v>0.05</v>
      </c>
      <c r="C14" s="10" t="n">
        <v>0.05</v>
      </c>
      <c r="D14" s="2" t="s">
        <v>215</v>
      </c>
    </row>
    <row r="15" customFormat="false" ht="15" hidden="false" customHeight="false" outlineLevel="0" collapsed="false">
      <c r="A15" s="4" t="s">
        <v>216</v>
      </c>
      <c r="B15" s="10" t="n">
        <v>0.25</v>
      </c>
      <c r="C15" s="12" t="n">
        <v>0.3</v>
      </c>
      <c r="D15" s="2" t="s">
        <v>213</v>
      </c>
    </row>
    <row r="16" customFormat="false" ht="15" hidden="false" customHeight="false" outlineLevel="0" collapsed="false">
      <c r="A16" s="4" t="s">
        <v>217</v>
      </c>
      <c r="B16" s="9" t="n">
        <v>1500</v>
      </c>
      <c r="C16" s="9" t="n">
        <v>1500</v>
      </c>
      <c r="D16" s="2" t="s">
        <v>213</v>
      </c>
    </row>
    <row r="17" customFormat="false" ht="15" hidden="false" customHeight="false" outlineLevel="0" collapsed="false">
      <c r="A17" s="4" t="s">
        <v>218</v>
      </c>
      <c r="B17" s="10" t="n">
        <v>0.8</v>
      </c>
      <c r="C17" s="10" t="n">
        <v>0.8</v>
      </c>
      <c r="D17" s="2" t="s">
        <v>219</v>
      </c>
    </row>
    <row r="18" customFormat="false" ht="15" hidden="false" customHeight="false" outlineLevel="0" collapsed="false">
      <c r="A18" s="4" t="s">
        <v>220</v>
      </c>
      <c r="B18" s="10" t="n">
        <v>0.05</v>
      </c>
      <c r="C18" s="10" t="n">
        <v>0.05</v>
      </c>
      <c r="D18" s="2" t="s">
        <v>213</v>
      </c>
    </row>
    <row r="19" customFormat="false" ht="15" hidden="false" customHeight="false" outlineLevel="0" collapsed="false">
      <c r="A19" s="4" t="s">
        <v>221</v>
      </c>
      <c r="B19" s="9" t="n">
        <v>45000</v>
      </c>
      <c r="C19" s="9" t="n">
        <v>45000</v>
      </c>
      <c r="D19" s="2" t="s">
        <v>222</v>
      </c>
    </row>
    <row r="20" customFormat="false" ht="15" hidden="false" customHeight="false" outlineLevel="0" collapsed="false">
      <c r="A20" s="4" t="s">
        <v>223</v>
      </c>
      <c r="B20" s="10" t="n">
        <v>0.08</v>
      </c>
      <c r="C20" s="10" t="n">
        <v>0.08</v>
      </c>
      <c r="D20" s="2" t="s">
        <v>224</v>
      </c>
    </row>
    <row r="22" customFormat="false" ht="15" hidden="false" customHeight="false" outlineLevel="0" collapsed="false">
      <c r="A22" s="3" t="s">
        <v>225</v>
      </c>
      <c r="B22" s="3" t="s">
        <v>226</v>
      </c>
      <c r="C22" s="3" t="s">
        <v>227</v>
      </c>
      <c r="D22" s="3" t="s">
        <v>228</v>
      </c>
      <c r="E22" s="3" t="s">
        <v>229</v>
      </c>
      <c r="F22" s="3" t="s">
        <v>230</v>
      </c>
      <c r="G22" s="3" t="s">
        <v>231</v>
      </c>
    </row>
    <row r="23" customFormat="false" ht="15" hidden="false" customHeight="false" outlineLevel="0" collapsed="false">
      <c r="A23" s="4" t="s">
        <v>232</v>
      </c>
      <c r="B23" s="31" t="n">
        <f aca="false">$B$5*12*$B$6</f>
        <v>36</v>
      </c>
      <c r="C23" s="31" t="n">
        <f aca="false">$B$5*12*$B$6</f>
        <v>36</v>
      </c>
      <c r="D23" s="31" t="n">
        <f aca="false">$B$5*12*$B$6</f>
        <v>36</v>
      </c>
      <c r="E23" s="31" t="n">
        <f aca="false">$C$5*12*$C$6</f>
        <v>48</v>
      </c>
      <c r="F23" s="31" t="n">
        <f aca="false">$C$5*12*$C$6</f>
        <v>48</v>
      </c>
      <c r="G23" s="31" t="n">
        <f aca="false">$C$5*12*$C$6</f>
        <v>48</v>
      </c>
    </row>
    <row r="24" customFormat="false" ht="15" hidden="false" customHeight="false" outlineLevel="0" collapsed="false">
      <c r="A24" s="4" t="s">
        <v>233</v>
      </c>
      <c r="B24" s="31" t="n">
        <f aca="false">0*$B$7+B23</f>
        <v>36</v>
      </c>
      <c r="C24" s="31" t="n">
        <f aca="false">B24*$B$7+C23</f>
        <v>69.12</v>
      </c>
      <c r="D24" s="31" t="n">
        <f aca="false">C24*$B$7+D23</f>
        <v>99.5904</v>
      </c>
      <c r="E24" s="31" t="n">
        <f aca="false">0*$C$7+E23</f>
        <v>48</v>
      </c>
      <c r="F24" s="31" t="n">
        <f aca="false">E24*$C$7+F23</f>
        <v>93.6</v>
      </c>
      <c r="G24" s="31" t="n">
        <f aca="false">F24*$C$7+G23</f>
        <v>136.92</v>
      </c>
    </row>
    <row r="25" customFormat="false" ht="15" hidden="false" customHeight="false" outlineLevel="0" collapsed="false">
      <c r="A25" s="4" t="s">
        <v>234</v>
      </c>
      <c r="B25" s="31" t="n">
        <f aca="false">0*$B$7+B23*$B$15</f>
        <v>9</v>
      </c>
      <c r="C25" s="31" t="n">
        <f aca="false">B25*$B$7+C23*$B$15</f>
        <v>17.28</v>
      </c>
      <c r="D25" s="31" t="n">
        <f aca="false">C25*$B$7+D23*$B$15</f>
        <v>24.8976</v>
      </c>
      <c r="E25" s="31" t="n">
        <f aca="false">0*$C$7+E23*$C$15</f>
        <v>14.4</v>
      </c>
      <c r="F25" s="31" t="n">
        <f aca="false">E25*$C$7+F23*$C$15</f>
        <v>28.08</v>
      </c>
      <c r="G25" s="31" t="n">
        <f aca="false">F25*$C$7+G23*$C$15</f>
        <v>41.076</v>
      </c>
    </row>
    <row r="26" customFormat="false" ht="15" hidden="false" customHeight="false" outlineLevel="0" collapsed="false">
      <c r="A26" s="4" t="s">
        <v>235</v>
      </c>
      <c r="B26" s="20" t="n">
        <f aca="false">0*$B$7*(1+$B$10)+B23*$B$8+B24*$B$9</f>
        <v>1404000</v>
      </c>
      <c r="C26" s="20" t="n">
        <f aca="false">B26*$B$7*(1+$B$10)+C23*$B$8+C24*$B$9</f>
        <v>2967105.438</v>
      </c>
      <c r="D26" s="20" t="n">
        <f aca="false">C26*$B$7*(1+$B$10)+D23*$B$8+D24*$B$9</f>
        <v>4668929.47451411</v>
      </c>
      <c r="E26" s="20" t="n">
        <f aca="false">0*$C$7*(1+$C$10)+E23*$C$8+E24*$C$9</f>
        <v>1872000</v>
      </c>
      <c r="F26" s="20" t="n">
        <f aca="false">E26*$C$7*(1+$C$10)+F23*$C$8+F24*$C$9</f>
        <v>4024101.69</v>
      </c>
      <c r="G26" s="20" t="n">
        <f aca="false">F26*$C$7*(1+$C$10)+G23*$C$8+G24*$C$9</f>
        <v>6443597.89818208</v>
      </c>
    </row>
    <row r="27" customFormat="false" ht="15" hidden="false" customHeight="false" outlineLevel="0" collapsed="false">
      <c r="A27" s="4" t="s">
        <v>236</v>
      </c>
      <c r="B27" s="20" t="n">
        <f aca="false">(0+B26)/2</f>
        <v>702000</v>
      </c>
      <c r="C27" s="20" t="n">
        <f aca="false">(B26+C26)/2</f>
        <v>2185552.719</v>
      </c>
      <c r="D27" s="20" t="n">
        <f aca="false">(C26+D26)/2</f>
        <v>3818017.45625706</v>
      </c>
      <c r="E27" s="20" t="n">
        <f aca="false">(0+E26)/2</f>
        <v>936000</v>
      </c>
      <c r="F27" s="20" t="n">
        <f aca="false">(E26+F26)/2</f>
        <v>2948050.845</v>
      </c>
      <c r="G27" s="20" t="n">
        <f aca="false">(F26+G26)/2</f>
        <v>5233849.79409104</v>
      </c>
    </row>
    <row r="28" customFormat="false" ht="15" hidden="false" customHeight="false" outlineLevel="0" collapsed="false">
      <c r="A28" s="4" t="s">
        <v>237</v>
      </c>
      <c r="B28" s="20" t="n">
        <f aca="false">B27*$B$11</f>
        <v>7020</v>
      </c>
      <c r="C28" s="20" t="n">
        <f aca="false">C27*$B$11</f>
        <v>21855.52719</v>
      </c>
      <c r="D28" s="20" t="n">
        <f aca="false">D27*$B$11</f>
        <v>38180.1745625706</v>
      </c>
      <c r="E28" s="20" t="n">
        <f aca="false">E27*$C$11</f>
        <v>9360</v>
      </c>
      <c r="F28" s="20" t="n">
        <f aca="false">F27*$C$11</f>
        <v>29480.50845</v>
      </c>
      <c r="G28" s="20" t="n">
        <f aca="false">G27*$C$11</f>
        <v>52338.4979409104</v>
      </c>
    </row>
    <row r="29" customFormat="false" ht="15" hidden="false" customHeight="false" outlineLevel="0" collapsed="false">
      <c r="A29" s="4" t="s">
        <v>238</v>
      </c>
      <c r="B29" s="20" t="n">
        <f aca="false">B23*$B$12*$B$13*$B$14</f>
        <v>18000</v>
      </c>
      <c r="C29" s="20" t="n">
        <f aca="false">C23*$B$12*$B$13*$B$14</f>
        <v>18000</v>
      </c>
      <c r="D29" s="20" t="n">
        <f aca="false">D23*$B$12*$B$13*$B$14</f>
        <v>18000</v>
      </c>
      <c r="E29" s="20" t="n">
        <f aca="false">E23*$C$12*$C$13*$C$14</f>
        <v>30000</v>
      </c>
      <c r="F29" s="20" t="n">
        <f aca="false">F23*$C$12*$C$13*$C$14</f>
        <v>30000</v>
      </c>
      <c r="G29" s="20" t="n">
        <f aca="false">G23*$C$12*$C$13*$C$14</f>
        <v>30000</v>
      </c>
    </row>
    <row r="30" customFormat="false" ht="15" hidden="false" customHeight="false" outlineLevel="0" collapsed="false">
      <c r="A30" s="4" t="s">
        <v>239</v>
      </c>
      <c r="B30" s="20" t="n">
        <f aca="false">B23*$B$15*$B$16*$B$17</f>
        <v>10800</v>
      </c>
      <c r="C30" s="20" t="n">
        <f aca="false">C23*$B$15*$B$16*$B$17</f>
        <v>10800</v>
      </c>
      <c r="D30" s="20" t="n">
        <f aca="false">D23*$B$15*$B$16*$B$17</f>
        <v>10800</v>
      </c>
      <c r="E30" s="20" t="n">
        <f aca="false">E23*$C$15*$C$16*$C$17</f>
        <v>17280</v>
      </c>
      <c r="F30" s="20" t="n">
        <f aca="false">F23*$C$15*$C$16*$C$17</f>
        <v>17280</v>
      </c>
      <c r="G30" s="20" t="n">
        <f aca="false">G23*$C$15*$C$16*$C$17</f>
        <v>17280</v>
      </c>
    </row>
    <row r="31" customFormat="false" ht="15" hidden="false" customHeight="false" outlineLevel="0" collapsed="false">
      <c r="A31" s="4" t="s">
        <v>240</v>
      </c>
      <c r="B31" s="20" t="n">
        <f aca="false">0*$B$7*$B$16*$B$18</f>
        <v>0</v>
      </c>
      <c r="C31" s="20" t="n">
        <f aca="false">B25*$B$7*$B$16*$B$18</f>
        <v>621</v>
      </c>
      <c r="D31" s="20" t="n">
        <f aca="false">C25*$B$7*$B$16*$B$18</f>
        <v>1192.32</v>
      </c>
      <c r="E31" s="20" t="n">
        <f aca="false">0*$C$7*$C$16*$C$18</f>
        <v>0</v>
      </c>
      <c r="F31" s="20" t="n">
        <f aca="false">E25*$C$7*$C$16*$C$18</f>
        <v>1026</v>
      </c>
      <c r="G31" s="20" t="n">
        <f aca="false">F25*$C$7*$C$16*$C$18</f>
        <v>2000.7</v>
      </c>
    </row>
    <row r="32" customFormat="false" ht="15" hidden="false" customHeight="false" outlineLevel="0" collapsed="false">
      <c r="A32" s="13" t="s">
        <v>241</v>
      </c>
      <c r="B32" s="20" t="n">
        <f aca="false">SUM(B28:B31)</f>
        <v>35820</v>
      </c>
      <c r="C32" s="20" t="n">
        <f aca="false">SUM(C28:C31)</f>
        <v>51276.52719</v>
      </c>
      <c r="D32" s="20" t="n">
        <f aca="false">SUM(D28:D31)</f>
        <v>68172.4945625706</v>
      </c>
      <c r="E32" s="20" t="n">
        <f aca="false">SUM(E28:E31)</f>
        <v>56640</v>
      </c>
      <c r="F32" s="20" t="n">
        <f aca="false">SUM(F28:F31)</f>
        <v>77786.50845</v>
      </c>
      <c r="G32" s="20" t="n">
        <f aca="false">SUM(G28:G31)</f>
        <v>101619.19794091</v>
      </c>
    </row>
    <row r="33" customFormat="false" ht="15" hidden="false" customHeight="false" outlineLevel="0" collapsed="false">
      <c r="A33" s="4" t="s">
        <v>242</v>
      </c>
      <c r="B33" s="20" t="n">
        <f aca="false">$B$19</f>
        <v>45000</v>
      </c>
      <c r="C33" s="20" t="n">
        <f aca="false">$B$19</f>
        <v>45000</v>
      </c>
      <c r="D33" s="20" t="n">
        <f aca="false">$B$19</f>
        <v>45000</v>
      </c>
      <c r="E33" s="20" t="n">
        <f aca="false">$C$19</f>
        <v>45000</v>
      </c>
      <c r="F33" s="20" t="n">
        <f aca="false">$C$19</f>
        <v>45000</v>
      </c>
      <c r="G33" s="20" t="n">
        <f aca="false">$C$19</f>
        <v>45000</v>
      </c>
    </row>
    <row r="34" customFormat="false" ht="15" hidden="false" customHeight="false" outlineLevel="0" collapsed="false">
      <c r="A34" s="13" t="s">
        <v>243</v>
      </c>
      <c r="B34" s="20" t="n">
        <f aca="false">B32-B33</f>
        <v>-9180</v>
      </c>
      <c r="C34" s="20" t="n">
        <f aca="false">C32-C33</f>
        <v>6276.52719</v>
      </c>
      <c r="D34" s="20" t="n">
        <f aca="false">D32-D33</f>
        <v>23172.4945625706</v>
      </c>
      <c r="E34" s="20" t="n">
        <f aca="false">E32-E33</f>
        <v>11640</v>
      </c>
      <c r="F34" s="20" t="n">
        <f aca="false">F32-F33</f>
        <v>32786.50845</v>
      </c>
      <c r="G34" s="20" t="n">
        <f aca="false">G32-G33</f>
        <v>56619.1979409104</v>
      </c>
    </row>
    <row r="35" customFormat="false" ht="15" hidden="false" customHeight="false" outlineLevel="0" collapsed="false">
      <c r="A35" s="4" t="s">
        <v>244</v>
      </c>
      <c r="B35" s="35" t="n">
        <f aca="false">IF(B33=0,0,B32/B33)</f>
        <v>0.796</v>
      </c>
      <c r="C35" s="35" t="n">
        <f aca="false">IF(C33=0,0,C32/C33)</f>
        <v>1.139478382</v>
      </c>
      <c r="D35" s="35" t="n">
        <f aca="false">IF(D33=0,0,D32/D33)</f>
        <v>1.51494432361268</v>
      </c>
      <c r="E35" s="35" t="n">
        <f aca="false">IF(E33=0,0,E32/E33)</f>
        <v>1.25866666666667</v>
      </c>
      <c r="F35" s="35" t="n">
        <f aca="false">IF(F33=0,0,F32/F33)</f>
        <v>1.72858907666667</v>
      </c>
      <c r="G35" s="35" t="n">
        <f aca="false">IF(G33=0,0,G32/G33)</f>
        <v>2.2582043986869</v>
      </c>
    </row>
    <row r="37" customFormat="false" ht="15" hidden="false" customHeight="false" outlineLevel="0" collapsed="false">
      <c r="A37" s="3" t="s">
        <v>245</v>
      </c>
      <c r="B37" s="3" t="s">
        <v>246</v>
      </c>
      <c r="C37" s="3" t="s">
        <v>247</v>
      </c>
      <c r="D37" s="3" t="s">
        <v>248</v>
      </c>
    </row>
    <row r="38" customFormat="false" ht="15" hidden="false" customHeight="false" outlineLevel="0" collapsed="false">
      <c r="A38" s="13" t="s">
        <v>249</v>
      </c>
      <c r="B38" s="20" t="n">
        <f aca="false">SUM(B32:D32)</f>
        <v>155269.021752571</v>
      </c>
      <c r="C38" s="20" t="n">
        <f aca="false">SUM(E32:G32)</f>
        <v>236045.70639091</v>
      </c>
      <c r="D38" s="36" t="n">
        <f aca="false">C38-B38</f>
        <v>80776.6846383398</v>
      </c>
    </row>
    <row r="39" customFormat="false" ht="15" hidden="false" customHeight="false" outlineLevel="0" collapsed="false">
      <c r="A39" s="13" t="s">
        <v>250</v>
      </c>
      <c r="B39" s="20" t="n">
        <f aca="false">SUM(B34:D34)</f>
        <v>20269.0217525706</v>
      </c>
      <c r="C39" s="20" t="n">
        <f aca="false">SUM(E34:G34)</f>
        <v>101045.70639091</v>
      </c>
      <c r="D39" s="36" t="n">
        <f aca="false">C39-B39</f>
        <v>80776.6846383398</v>
      </c>
    </row>
    <row r="40" customFormat="false" ht="15" hidden="false" customHeight="false" outlineLevel="0" collapsed="false">
      <c r="A40" s="13" t="s">
        <v>251</v>
      </c>
      <c r="B40" s="31" t="n">
        <f aca="false">D24</f>
        <v>99.5904</v>
      </c>
      <c r="C40" s="31" t="n">
        <f aca="false">G24</f>
        <v>136.92</v>
      </c>
      <c r="D40" s="37" t="n">
        <f aca="false">C40-B40</f>
        <v>37.3296</v>
      </c>
    </row>
    <row r="41" customFormat="false" ht="15" hidden="false" customHeight="false" outlineLevel="0" collapsed="false">
      <c r="A41" s="13" t="s">
        <v>252</v>
      </c>
      <c r="B41" s="20" t="n">
        <f aca="false">D26</f>
        <v>4668929.47451411</v>
      </c>
      <c r="C41" s="20" t="n">
        <f aca="false">G26</f>
        <v>6443597.89818208</v>
      </c>
      <c r="D41" s="36" t="n">
        <f aca="false">C41-B41</f>
        <v>1774668.42366797</v>
      </c>
    </row>
    <row r="42" customFormat="false" ht="15" hidden="false" customHeight="false" outlineLevel="0" collapsed="false">
      <c r="A42" s="13" t="s">
        <v>253</v>
      </c>
      <c r="B42" s="35" t="n">
        <f aca="false">SUM(B32:D32)/SUM(B33:D33)</f>
        <v>1.15014090187089</v>
      </c>
      <c r="C42" s="35" t="n">
        <f aca="false">SUM(E32:G32)/SUM(E33:G33)</f>
        <v>1.74848671400674</v>
      </c>
      <c r="D42" s="38" t="n">
        <f aca="false">C42-B42</f>
        <v>0.598345812135851</v>
      </c>
    </row>
    <row r="43" customFormat="false" ht="15" hidden="false" customHeight="false" outlineLevel="0" collapsed="false">
      <c r="A43" s="2" t="s">
        <v>254</v>
      </c>
    </row>
    <row r="45" customFormat="false" ht="15" hidden="false" customHeight="false" outlineLevel="0" collapsed="false">
      <c r="A45" s="3" t="s">
        <v>255</v>
      </c>
      <c r="B45" s="3" t="s">
        <v>256</v>
      </c>
      <c r="C45" s="3" t="s">
        <v>257</v>
      </c>
    </row>
    <row r="46" customFormat="false" ht="15" hidden="false" customHeight="false" outlineLevel="0" collapsed="false">
      <c r="A46" s="13" t="s">
        <v>81</v>
      </c>
      <c r="B46" s="13" t="s">
        <v>258</v>
      </c>
      <c r="C46" s="13" t="s">
        <v>258</v>
      </c>
    </row>
    <row r="47" customFormat="false" ht="15" hidden="false" customHeight="false" outlineLevel="0" collapsed="false">
      <c r="A47" s="4" t="n">
        <v>1</v>
      </c>
      <c r="B47" s="20" t="n">
        <f aca="false">$B$7^(1-1)*$B$11*($B$8*(1+$B$10)^1+$B$9*((1+$B$10)^1-1)/$B$10)+$B$12*$B$13*$B$14+$B$15*$B$16*$B$17</f>
        <v>1208.574875</v>
      </c>
      <c r="C47" s="20" t="n">
        <f aca="false">$C$7^(1-1)*$C$11*($C$8*(1+$C$10)^1+$C$9*((1+$C$10)^1-1)/$C$10)+$C$12*$C$13*$C$14+$C$15*$C$16*$C$17</f>
        <v>1393.574875</v>
      </c>
    </row>
    <row r="48" customFormat="false" ht="15" hidden="false" customHeight="false" outlineLevel="0" collapsed="false">
      <c r="A48" s="4" t="n">
        <v>2</v>
      </c>
      <c r="B48" s="20" t="n">
        <f aca="false">$B$7^(2-1)*$B$11*($B$8*(1+$B$10)^2+$B$9*((1+$B$10)^2-1)/$B$10)+$B$7^(2-1)*$B$15*$B$16*$B$18</f>
        <v>469.496730614438</v>
      </c>
      <c r="C48" s="20" t="n">
        <f aca="false">$C$7^(2-1)*$C$11*($C$8*(1+$C$10)^2+$C$9*((1+$C$10)^2-1)/$C$10)+$C$7^(2-1)*$C$15*$C$16*$C$18</f>
        <v>488.368906612735</v>
      </c>
    </row>
    <row r="49" customFormat="false" ht="15" hidden="false" customHeight="false" outlineLevel="0" collapsed="false">
      <c r="A49" s="4" t="n">
        <v>3</v>
      </c>
      <c r="B49" s="20" t="n">
        <f aca="false">$B$7^(3-1)*$B$11*($B$8*(1+$B$10)^3+$B$9*((1+$B$10)^3-1)/$B$10)+$B$7^(3-1)*$B$15*$B$16*$B$18</f>
        <v>506.140362986786</v>
      </c>
      <c r="C49" s="20" t="n">
        <f aca="false">$C$7^(3-1)*$C$11*($C$8*(1+$C$10)^3+$C$9*((1+$C$10)^3-1)/$C$10)+$C$7^(3-1)*$C$15*$C$16*$C$18</f>
        <v>543.072084824639</v>
      </c>
    </row>
    <row r="50" customFormat="false" ht="15" hidden="false" customHeight="false" outlineLevel="0" collapsed="false">
      <c r="A50" s="4" t="n">
        <v>4</v>
      </c>
      <c r="B50" s="20" t="n">
        <f aca="false">$B$7^(4-1)*$B$11*($B$8*(1+$B$10)^4+$B$9*((1+$B$10)^4-1)/$B$10)+$B$7^(4-1)*$B$15*$B$16*$B$18</f>
        <v>537.758819559933</v>
      </c>
      <c r="C50" s="20" t="n">
        <f aca="false">$C$7^(4-1)*$C$11*($C$8*(1+$C$10)^4+$C$9*((1+$C$10)^4-1)/$C$10)+$C$7^(4-1)*$C$15*$C$16*$C$18</f>
        <v>595.314903414714</v>
      </c>
    </row>
    <row r="51" customFormat="false" ht="15" hidden="false" customHeight="false" outlineLevel="0" collapsed="false">
      <c r="A51" s="4" t="n">
        <v>5</v>
      </c>
      <c r="B51" s="20" t="n">
        <f aca="false">$B$7^(5-1)*$B$11*($B$8*(1+$B$10)^5+$B$9*((1+$B$10)^5-1)/$B$10)+$B$7^(5-1)*$B$15*$B$16*$B$18</f>
        <v>564.813188772839</v>
      </c>
      <c r="C51" s="20" t="n">
        <f aca="false">$C$7^(5-1)*$C$11*($C$8*(1+$C$10)^5+$C$9*((1+$C$10)^5-1)/$C$10)+$C$7^(5-1)*$C$15*$C$16*$C$18</f>
        <v>645.221334776332</v>
      </c>
    </row>
    <row r="52" customFormat="false" ht="15" hidden="false" customHeight="false" outlineLevel="0" collapsed="false">
      <c r="A52" s="4" t="n">
        <v>6</v>
      </c>
      <c r="B52" s="20" t="n">
        <f aca="false">$B$7^(6-1)*$B$11*($B$8*(1+$B$10)^6+$B$9*((1+$B$10)^6-1)/$B$10)+$B$7^(6-1)*$B$15*$B$16*$B$18</f>
        <v>587.726005176324</v>
      </c>
      <c r="C52" s="20" t="n">
        <f aca="false">$C$7^(6-1)*$C$11*($C$8*(1+$C$10)^6+$C$9*((1+$C$10)^6-1)/$C$10)+$C$7^(6-1)*$C$15*$C$16*$C$18</f>
        <v>692.909155997988</v>
      </c>
    </row>
    <row r="53" customFormat="false" ht="15" hidden="false" customHeight="false" outlineLevel="0" collapsed="false">
      <c r="A53" s="4" t="n">
        <v>7</v>
      </c>
      <c r="B53" s="20" t="n">
        <f aca="false">$B$7^(7-1)*$B$11*($B$8*(1+$B$10)^7+$B$9*((1+$B$10)^7-1)/$B$10)+$B$7^(7-1)*$B$15*$B$16*$B$18</f>
        <v>606.88438077407</v>
      </c>
      <c r="C53" s="20" t="n">
        <f aca="false">$C$7^(7-1)*$C$11*($C$8*(1+$C$10)^7+$C$9*((1+$C$10)^7-1)/$C$10)+$C$7^(7-1)*$C$15*$C$16*$C$18</f>
        <v>738.490258640058</v>
      </c>
    </row>
    <row r="54" customFormat="false" ht="15" hidden="false" customHeight="false" outlineLevel="0" collapsed="false">
      <c r="A54" s="4" t="n">
        <v>8</v>
      </c>
      <c r="B54" s="20" t="n">
        <f aca="false">$B$7^(8-1)*$B$11*($B$8*(1+$B$10)^8+$B$9*((1+$B$10)^8-1)/$B$10)+$B$7^(8-1)*$B$15*$B$16*$B$18</f>
        <v>622.642884529396</v>
      </c>
      <c r="C54" s="20" t="n">
        <f aca="false">$C$7^(8-1)*$C$11*($C$8*(1+$C$10)^8+$C$9*((1+$C$10)^8-1)/$C$10)+$C$7^(8-1)*$C$15*$C$16*$C$18</f>
        <v>782.07094302276</v>
      </c>
    </row>
    <row r="55" customFormat="false" ht="15" hidden="false" customHeight="false" outlineLevel="0" collapsed="false">
      <c r="A55" s="4" t="n">
        <v>9</v>
      </c>
      <c r="B55" s="20" t="n">
        <f aca="false">$B$7^(9-1)*$B$11*($B$8*(1+$B$10)^9+$B$9*((1+$B$10)^9-1)/$B$10)+$B$7^(9-1)*$B$15*$B$16*$B$18</f>
        <v>635.326190221928</v>
      </c>
      <c r="C55" s="20" t="n">
        <f aca="false">$C$7^(9-1)*$C$11*($C$8*(1+$C$10)^9+$C$9*((1+$C$10)^9-1)/$C$10)+$C$7^(9-1)*$C$15*$C$16*$C$18</f>
        <v>823.75219779975</v>
      </c>
    </row>
    <row r="56" customFormat="false" ht="15" hidden="false" customHeight="false" outlineLevel="0" collapsed="false">
      <c r="A56" s="4" t="n">
        <v>10</v>
      </c>
      <c r="B56" s="20" t="n">
        <f aca="false">$B$7^(10-1)*$B$11*($B$8*(1+$B$10)^10+$B$9*((1+$B$10)^10-1)/$B$10)+$B$7^(10-1)*$B$15*$B$16*$B$18</f>
        <v>645.231511222615</v>
      </c>
      <c r="C56" s="20" t="n">
        <f aca="false">$C$7^(10-1)*$C$11*($C$8*(1+$C$10)^10+$C$9*((1+$C$10)^10-1)/$C$10)+$C$7^(10-1)*$C$15*$C$16*$C$18</f>
        <v>863.629965553088</v>
      </c>
      <c r="D56" s="13" t="s">
        <v>248</v>
      </c>
    </row>
    <row r="57" customFormat="false" ht="15" hidden="false" customHeight="false" outlineLevel="0" collapsed="false">
      <c r="A57" s="13" t="s">
        <v>259</v>
      </c>
      <c r="B57" s="36" t="n">
        <f aca="false">NPV($B$20,B47:B56)</f>
        <v>4380.59143972022</v>
      </c>
      <c r="C57" s="36" t="n">
        <f aca="false">NPV($C$20,C47:C56)</f>
        <v>5119.04371900083</v>
      </c>
      <c r="D57" s="36" t="n">
        <f aca="false">C57-B57</f>
        <v>738.452279280609</v>
      </c>
    </row>
    <row r="58" customFormat="false" ht="15" hidden="false" customHeight="false" outlineLevel="0" collapsed="false">
      <c r="A58" s="13" t="s">
        <v>260</v>
      </c>
      <c r="B58" s="36" t="n">
        <f aca="false">B57*B23</f>
        <v>157701.291829928</v>
      </c>
      <c r="C58" s="36" t="n">
        <f aca="false">C57*E23</f>
        <v>245714.09851204</v>
      </c>
      <c r="D58" s="36" t="n">
        <f aca="false">C58-B58</f>
        <v>88012.8066821119</v>
      </c>
    </row>
    <row r="59" customFormat="false" ht="15" hidden="false" customHeight="false" outlineLevel="0" collapsed="false">
      <c r="A59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2026-10-16T03:37:21Z</dcterms:created>
  <dc:creator>openpyxl</dc:creator>
  <dc:description/>
  <dc:language>en-US</dc:language>
  <cp:lastModifiedBy/>
  <dcterms:modified xsi:type="dcterms:W3CDTF">2026-10-16T03:37:23Z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